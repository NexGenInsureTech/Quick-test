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M_CALCULATOR" sheetId="2" state="visible" r:id="rId2"/>
    <sheet xmlns:r="http://schemas.openxmlformats.org/officeDocument/2006/relationships" name="PNL_DASHBOARD" sheetId="3" state="visible" r:id="rId3"/>
    <sheet xmlns:r="http://schemas.openxmlformats.org/officeDocument/2006/relationships" name="VERSION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Bancassurance Incentive Engine - Refactored</t>
        </is>
      </c>
    </row>
    <row r="3">
      <c r="A3" t="inlineStr">
        <is>
          <t>Total RMs</t>
        </is>
      </c>
      <c r="B3" t="n">
        <v>500</v>
      </c>
    </row>
    <row r="4">
      <c r="A4" t="inlineStr">
        <is>
          <t>Current GWP (Cr)</t>
        </is>
      </c>
      <c r="B4" t="n">
        <v>443</v>
      </c>
    </row>
    <row r="5">
      <c r="A5" t="inlineStr">
        <is>
          <t>Target GWP (Cr)</t>
        </is>
      </c>
      <c r="B5" t="n">
        <v>600</v>
      </c>
    </row>
    <row r="6">
      <c r="A6" t="inlineStr">
        <is>
          <t>Aspirational GWP (Cr)</t>
        </is>
      </c>
      <c r="B6" t="n">
        <v>800</v>
      </c>
    </row>
    <row r="7">
      <c r="A7" t="inlineStr">
        <is>
          <t>Current Monthly RM Productivity</t>
        </is>
      </c>
      <c r="B7" t="n">
        <v>550000</v>
      </c>
    </row>
    <row r="8">
      <c r="A8" t="inlineStr">
        <is>
          <t>Target Monthly RM Productivity</t>
        </is>
      </c>
      <c r="B8" t="n">
        <v>750000</v>
      </c>
    </row>
    <row r="9">
      <c r="A9" t="inlineStr">
        <is>
          <t>Aspirational Monthly RM Productivity</t>
        </is>
      </c>
      <c r="B9" t="n">
        <v>1000000</v>
      </c>
    </row>
    <row r="10">
      <c r="A10" t="inlineStr">
        <is>
          <t>RM Base Incentive %</t>
        </is>
      </c>
      <c r="B10" t="n">
        <v>0.012</v>
      </c>
    </row>
    <row r="11">
      <c r="A11" t="inlineStr">
        <is>
          <t>ASM Base Incentive %</t>
        </is>
      </c>
      <c r="B11" t="n">
        <v>0.005</v>
      </c>
    </row>
    <row r="12">
      <c r="A12" t="inlineStr">
        <is>
          <t>ZSM Base Incentive %</t>
        </is>
      </c>
      <c r="B12" t="n">
        <v>0.0025</v>
      </c>
    </row>
    <row r="16">
      <c r="A16" t="inlineStr">
        <is>
          <t>Achievement Weight</t>
        </is>
      </c>
      <c r="B16" t="n">
        <v>0.5</v>
      </c>
    </row>
    <row r="17">
      <c r="A17" t="inlineStr">
        <is>
          <t>Activation Weight</t>
        </is>
      </c>
      <c r="B17" t="n">
        <v>0.2</v>
      </c>
    </row>
    <row r="18">
      <c r="A18" t="inlineStr">
        <is>
          <t>Product Mix Weight</t>
        </is>
      </c>
      <c r="B18" t="n">
        <v>0.15</v>
      </c>
    </row>
    <row r="19">
      <c r="A19" t="inlineStr">
        <is>
          <t>Persistency Weight</t>
        </is>
      </c>
      <c r="B19" t="n">
        <v>0.1</v>
      </c>
    </row>
    <row r="20">
      <c r="A20" t="inlineStr">
        <is>
          <t>Digital Weight</t>
        </is>
      </c>
      <c r="B20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2" t="inlineStr">
        <is>
          <t>RM Name</t>
        </is>
      </c>
      <c r="B1" s="2" t="inlineStr">
        <is>
          <t>Zone</t>
        </is>
      </c>
      <c r="C1" s="2" t="inlineStr">
        <is>
          <t>Target</t>
        </is>
      </c>
      <c r="D1" s="2" t="inlineStr">
        <is>
          <t>Achieved</t>
        </is>
      </c>
      <c r="E1" s="2" t="inlineStr">
        <is>
          <t>% Achievement</t>
        </is>
      </c>
      <c r="F1" s="2" t="inlineStr">
        <is>
          <t>Activation %</t>
        </is>
      </c>
      <c r="G1" s="2" t="inlineStr">
        <is>
          <t>Product Mix %</t>
        </is>
      </c>
      <c r="H1" s="2" t="inlineStr">
        <is>
          <t>Persistency %</t>
        </is>
      </c>
      <c r="I1" s="2" t="inlineStr">
        <is>
          <t>Digital %</t>
        </is>
      </c>
      <c r="J1" s="2" t="inlineStr">
        <is>
          <t>BPI Score</t>
        </is>
      </c>
      <c r="K1" s="2" t="inlineStr">
        <is>
          <t>Multiplier</t>
        </is>
      </c>
      <c r="L1" s="2" t="inlineStr">
        <is>
          <t>Quality Factor</t>
        </is>
      </c>
      <c r="M1" s="2" t="inlineStr">
        <is>
          <t>Final Incentive (Tapered)</t>
        </is>
      </c>
      <c r="N1" s="2" t="inlineStr">
        <is>
          <t>Gap to Next Achievement Slab</t>
        </is>
      </c>
      <c r="O1" s="2" t="inlineStr">
        <is>
          <t>AI Insight</t>
        </is>
      </c>
      <c r="Q1" s="3" t="inlineStr">
        <is>
          <t>Governance &amp; Tapering</t>
        </is>
      </c>
    </row>
    <row r="2">
      <c r="A2" t="inlineStr">
        <is>
          <t>RM Alpha</t>
        </is>
      </c>
      <c r="B2" t="inlineStr">
        <is>
          <t>North</t>
        </is>
      </c>
      <c r="C2" t="n">
        <v>750000</v>
      </c>
      <c r="D2" t="n">
        <v>550000</v>
      </c>
      <c r="E2">
        <f>D2/C2</f>
        <v/>
      </c>
      <c r="F2" t="n">
        <v>0.5</v>
      </c>
      <c r="G2" t="n">
        <v>0.3</v>
      </c>
      <c r="H2" t="n">
        <v>0.8</v>
      </c>
      <c r="I2" t="n">
        <v>0.8</v>
      </c>
      <c r="J2">
        <f>MIN((E2*INPUTS!B16)+(F2*INPUTS!B17)+(G2*INPUTS!B18)+(H2*INPUTS!B19)+(I2*INPUTS!B20),1.5)</f>
        <v/>
      </c>
      <c r="K2">
        <f>IF(J2&lt;0.6,0.3,IF(J2&lt;0.8,0.6,IF(J2&lt;1,1,IF(J2&lt;1.2,1.5,2))))</f>
        <v/>
      </c>
      <c r="L2" t="n">
        <v>1</v>
      </c>
      <c r="M2">
        <f>IF((D2*INPUTS!B10*K2*L2)&lt;=25000,(D2*INPUTS!B10*K2*L2),IF((D2*INPUTS!B10*K2*L2)&lt;=40000,25000+(((D2*INPUTS!B10*K2*L2)-25000)*0.85),IF((D2*INPUTS!B10*K2*L2)&lt;=75000,37750+(((D2*INPUTS!B10*K2*L2)-40000)*0.70),62250+(((D2*INPUTS!B10*K2*L2)-75000)*0.50))))</f>
        <v/>
      </c>
      <c r="N2">
        <f>MAX(IF(E2&lt;0.8,(C2*0.8)-D2,IF(E2&lt;1,(C2*1)-D2,IF(E2&lt;1.2,(C2*1.2)-D2,IF(E2&lt;1.4,(C2*1.4)-D2,(C2*1.5)-D2)))),0)</f>
        <v/>
      </c>
      <c r="O2">
        <f>IF(E2&lt;0.8,"Increase Sales Volume",IF(F2&lt;0.6,"Activate More Branches",IF(G2&lt;0.5,"Push Focus Products","Strong Performance")))</f>
        <v/>
      </c>
      <c r="Q2" s="2" t="inlineStr">
        <is>
          <t>Range</t>
        </is>
      </c>
      <c r="R2" s="2" t="inlineStr">
        <is>
          <t>Logic</t>
        </is>
      </c>
      <c r="S2" s="2" t="inlineStr">
        <is>
          <t>Action</t>
        </is>
      </c>
    </row>
    <row r="3">
      <c r="A3" t="inlineStr">
        <is>
          <t>RM Beta</t>
        </is>
      </c>
      <c r="B3" t="inlineStr">
        <is>
          <t>South</t>
        </is>
      </c>
      <c r="C3" t="n">
        <v>750000</v>
      </c>
      <c r="D3" t="n">
        <v>750000</v>
      </c>
      <c r="E3">
        <f>D3/C3</f>
        <v/>
      </c>
      <c r="F3" t="n">
        <v>0.65</v>
      </c>
      <c r="G3" t="n">
        <v>0.5</v>
      </c>
      <c r="H3" t="n">
        <v>0.85</v>
      </c>
      <c r="I3" t="n">
        <v>0.9</v>
      </c>
      <c r="J3">
        <f>MIN((E3*INPUTS!B16)+(F3*INPUTS!B17)+(G3*INPUTS!B18)+(H3*INPUTS!B19)+(I3*INPUTS!B20),1.5)</f>
        <v/>
      </c>
      <c r="K3">
        <f>IF(J3&lt;0.6,0.3,IF(J3&lt;0.8,0.6,IF(J3&lt;1,1,IF(J3&lt;1.2,1.5,2))))</f>
        <v/>
      </c>
      <c r="L3" t="n">
        <v>1</v>
      </c>
      <c r="M3">
        <f>IF((D3*INPUTS!B10*K3*L3)&lt;=25000,(D3*INPUTS!B10*K3*L3),IF((D3*INPUTS!B10*K3*L3)&lt;=40000,25000+(((D3*INPUTS!B10*K3*L3)-25000)*0.85),IF((D3*INPUTS!B10*K3*L3)&lt;=75000,37750+(((D3*INPUTS!B10*K3*L3)-40000)*0.70),62250+(((D3*INPUTS!B10*K3*L3)-75000)*0.50))))</f>
        <v/>
      </c>
      <c r="N3">
        <f>MAX(IF(E3&lt;0.8,(C3*0.8)-D3,IF(E3&lt;1,(C3*1)-D3,IF(E3&lt;1.2,(C3*1.2)-D3,IF(E3&lt;1.4,(C3*1.4)-D3,(C3*1.5)-D3)))),0)</f>
        <v/>
      </c>
      <c r="O3">
        <f>IF(E3&lt;0.8,"Increase Sales Volume",IF(F3&lt;0.6,"Activate More Branches",IF(G3&lt;0.5,"Push Focus Products","Strong Performance")))</f>
        <v/>
      </c>
      <c r="Q3" t="inlineStr">
        <is>
          <t>₹0–25K</t>
        </is>
      </c>
      <c r="R3" t="inlineStr">
        <is>
          <t>Normal</t>
        </is>
      </c>
      <c r="S3" t="inlineStr">
        <is>
          <t>Automatic</t>
        </is>
      </c>
    </row>
    <row r="4">
      <c r="A4" t="inlineStr">
        <is>
          <t>RM Gamma</t>
        </is>
      </c>
      <c r="B4" t="inlineStr">
        <is>
          <t>West</t>
        </is>
      </c>
      <c r="C4" t="n">
        <v>750000</v>
      </c>
      <c r="D4" t="n">
        <v>1200000</v>
      </c>
      <c r="E4">
        <f>D4/C4</f>
        <v/>
      </c>
      <c r="F4" t="n">
        <v>0.8</v>
      </c>
      <c r="G4" t="n">
        <v>0.65</v>
      </c>
      <c r="H4" t="n">
        <v>0.9</v>
      </c>
      <c r="I4" t="n">
        <v>0.95</v>
      </c>
      <c r="J4">
        <f>MIN((E4*INPUTS!B16)+(F4*INPUTS!B17)+(G4*INPUTS!B18)+(H4*INPUTS!B19)+(I4*INPUTS!B20),1.5)</f>
        <v/>
      </c>
      <c r="K4">
        <f>IF(J4&lt;0.6,0.3,IF(J4&lt;0.8,0.6,IF(J4&lt;1,1,IF(J4&lt;1.2,1.5,2))))</f>
        <v/>
      </c>
      <c r="L4" t="n">
        <v>1</v>
      </c>
      <c r="M4">
        <f>IF((D4*INPUTS!B10*K4*L4)&lt;=25000,(D4*INPUTS!B10*K4*L4),IF((D4*INPUTS!B10*K4*L4)&lt;=40000,25000+(((D4*INPUTS!B10*K4*L4)-25000)*0.85),IF((D4*INPUTS!B10*K4*L4)&lt;=75000,37750+(((D4*INPUTS!B10*K4*L4)-40000)*0.70),62250+(((D4*INPUTS!B10*K4*L4)-75000)*0.50))))</f>
        <v/>
      </c>
      <c r="N4">
        <f>MAX(IF(E4&lt;0.8,(C4*0.8)-D4,IF(E4&lt;1,(C4*1)-D4,IF(E4&lt;1.2,(C4*1.2)-D4,IF(E4&lt;1.4,(C4*1.4)-D4,(C4*1.5)-D4)))),0)</f>
        <v/>
      </c>
      <c r="O4">
        <f>IF(E4&lt;0.8,"Increase Sales Volume",IF(F4&lt;0.6,"Activate More Branches",IF(G4&lt;0.5,"Push Focus Products","Strong Performance")))</f>
        <v/>
      </c>
      <c r="Q4" t="inlineStr">
        <is>
          <t>₹25K–40K</t>
        </is>
      </c>
      <c r="R4" t="inlineStr">
        <is>
          <t>Moderated</t>
        </is>
      </c>
      <c r="S4" t="inlineStr">
        <is>
          <t>Monitor</t>
        </is>
      </c>
    </row>
    <row r="5">
      <c r="E5">
        <f>D5/C5</f>
        <v/>
      </c>
      <c r="J5">
        <f>MIN((E5*INPUTS!B16)+(F5*INPUTS!B17)+(G5*INPUTS!B18)+(H5*INPUTS!B19)+(I5*INPUTS!B20),1.5)</f>
        <v/>
      </c>
      <c r="K5">
        <f>IF(J5&lt;0.6,0.3,IF(J5&lt;0.8,0.6,IF(J5&lt;1,1,IF(J5&lt;1.2,1.5,2))))</f>
        <v/>
      </c>
      <c r="M5">
        <f>IF((D5*INPUTS!B10*K5*L5)&lt;=25000,(D5*INPUTS!B10*K5*L5),IF((D5*INPUTS!B10*K5*L5)&lt;=40000,25000+(((D5*INPUTS!B10*K5*L5)-25000)*0.85),IF((D5*INPUTS!B10*K5*L5)&lt;=75000,37750+(((D5*INPUTS!B10*K5*L5)-40000)*0.70),62250+(((D5*INPUTS!B10*K5*L5)-75000)*0.50))))</f>
        <v/>
      </c>
      <c r="N5">
        <f>MAX(IF(E5&lt;0.8,(C5*0.8)-D5,IF(E5&lt;1,(C5*1)-D5,IF(E5&lt;1.2,(C5*1.2)-D5,IF(E5&lt;1.4,(C5*1.4)-D5,(C5*1.5)-D5)))),0)</f>
        <v/>
      </c>
      <c r="O5">
        <f>IF(E5&lt;0.8,"Increase Sales Volume",IF(F5&lt;0.6,"Activate More Branches",IF(G5&lt;0.5,"Push Focus Products","Strong Performance")))</f>
        <v/>
      </c>
      <c r="Q5" t="inlineStr">
        <is>
          <t>₹40K–75K</t>
        </is>
      </c>
      <c r="R5" t="inlineStr">
        <is>
          <t>Tapered</t>
        </is>
      </c>
      <c r="S5" t="inlineStr">
        <is>
          <t>Review</t>
        </is>
      </c>
    </row>
    <row r="6">
      <c r="E6">
        <f>D6/C6</f>
        <v/>
      </c>
      <c r="J6">
        <f>MIN((E6*INPUTS!B16)+(F6*INPUTS!B17)+(G6*INPUTS!B18)+(H6*INPUTS!B19)+(I6*INPUTS!B20),1.5)</f>
        <v/>
      </c>
      <c r="K6">
        <f>IF(J6&lt;0.6,0.3,IF(J6&lt;0.8,0.6,IF(J6&lt;1,1,IF(J6&lt;1.2,1.5,2))))</f>
        <v/>
      </c>
      <c r="M6">
        <f>IF((D6*INPUTS!B10*K6*L6)&lt;=25000,(D6*INPUTS!B10*K6*L6),IF((D6*INPUTS!B10*K6*L6)&lt;=40000,25000+(((D6*INPUTS!B10*K6*L6)-25000)*0.85),IF((D6*INPUTS!B10*K6*L6)&lt;=75000,37750+(((D6*INPUTS!B10*K6*L6)-40000)*0.70),62250+(((D6*INPUTS!B10*K6*L6)-75000)*0.50))))</f>
        <v/>
      </c>
      <c r="N6">
        <f>MAX(IF(E6&lt;0.8,(C6*0.8)-D6,IF(E6&lt;1,(C6*1)-D6,IF(E6&lt;1.2,(C6*1.2)-D6,IF(E6&lt;1.4,(C6*1.4)-D6,(C6*1.5)-D6)))),0)</f>
        <v/>
      </c>
      <c r="O6">
        <f>IF(E6&lt;0.8,"Increase Sales Volume",IF(F6&lt;0.6,"Activate More Branches",IF(G6&lt;0.5,"Push Focus Products","Strong Performance")))</f>
        <v/>
      </c>
      <c r="Q6" t="inlineStr">
        <is>
          <t>&gt;₹75K</t>
        </is>
      </c>
      <c r="R6" t="inlineStr">
        <is>
          <t>Tapered + Approval</t>
        </is>
      </c>
      <c r="S6" t="inlineStr">
        <is>
          <t>Approval Review</t>
        </is>
      </c>
    </row>
    <row r="7">
      <c r="E7">
        <f>D7/C7</f>
        <v/>
      </c>
      <c r="J7">
        <f>MIN((E7*INPUTS!B16)+(F7*INPUTS!B17)+(G7*INPUTS!B18)+(H7*INPUTS!B19)+(I7*INPUTS!B20),1.5)</f>
        <v/>
      </c>
      <c r="K7">
        <f>IF(J7&lt;0.6,0.3,IF(J7&lt;0.8,0.6,IF(J7&lt;1,1,IF(J7&lt;1.2,1.5,2))))</f>
        <v/>
      </c>
      <c r="M7">
        <f>IF((D7*INPUTS!B10*K7*L7)&lt;=25000,(D7*INPUTS!B10*K7*L7),IF((D7*INPUTS!B10*K7*L7)&lt;=40000,25000+(((D7*INPUTS!B10*K7*L7)-25000)*0.85),IF((D7*INPUTS!B10*K7*L7)&lt;=75000,37750+(((D7*INPUTS!B10*K7*L7)-40000)*0.70),62250+(((D7*INPUTS!B10*K7*L7)-75000)*0.50))))</f>
        <v/>
      </c>
      <c r="N7">
        <f>MAX(IF(E7&lt;0.8,(C7*0.8)-D7,IF(E7&lt;1,(C7*1)-D7,IF(E7&lt;1.2,(C7*1.2)-D7,IF(E7&lt;1.4,(C7*1.4)-D7,(C7*1.5)-D7)))),0)</f>
        <v/>
      </c>
      <c r="O7">
        <f>IF(E7&lt;0.8,"Increase Sales Volume",IF(F7&lt;0.6,"Activate More Branches",IF(G7&lt;0.5,"Push Focus Products","Strong Performance")))</f>
        <v/>
      </c>
    </row>
    <row r="8">
      <c r="E8">
        <f>D8/C8</f>
        <v/>
      </c>
      <c r="J8">
        <f>MIN((E8*INPUTS!B16)+(F8*INPUTS!B17)+(G8*INPUTS!B18)+(H8*INPUTS!B19)+(I8*INPUTS!B20),1.5)</f>
        <v/>
      </c>
      <c r="K8">
        <f>IF(J8&lt;0.6,0.3,IF(J8&lt;0.8,0.6,IF(J8&lt;1,1,IF(J8&lt;1.2,1.5,2))))</f>
        <v/>
      </c>
      <c r="M8">
        <f>IF((D8*INPUTS!B10*K8*L8)&lt;=25000,(D8*INPUTS!B10*K8*L8),IF((D8*INPUTS!B10*K8*L8)&lt;=40000,25000+(((D8*INPUTS!B10*K8*L8)-25000)*0.85),IF((D8*INPUTS!B10*K8*L8)&lt;=75000,37750+(((D8*INPUTS!B10*K8*L8)-40000)*0.70),62250+(((D8*INPUTS!B10*K8*L8)-75000)*0.50))))</f>
        <v/>
      </c>
      <c r="N8">
        <f>MAX(IF(E8&lt;0.8,(C8*0.8)-D8,IF(E8&lt;1,(C8*1)-D8,IF(E8&lt;1.2,(C8*1.2)-D8,IF(E8&lt;1.4,(C8*1.4)-D8,(C8*1.5)-D8)))),0)</f>
        <v/>
      </c>
      <c r="O8">
        <f>IF(E8&lt;0.8,"Increase Sales Volume",IF(F8&lt;0.6,"Activate More Branches",IF(G8&lt;0.5,"Push Focus Products","Strong Performance")))</f>
        <v/>
      </c>
    </row>
    <row r="9">
      <c r="E9">
        <f>D9/C9</f>
        <v/>
      </c>
      <c r="J9">
        <f>MIN((E9*INPUTS!B16)+(F9*INPUTS!B17)+(G9*INPUTS!B18)+(H9*INPUTS!B19)+(I9*INPUTS!B20),1.5)</f>
        <v/>
      </c>
      <c r="K9">
        <f>IF(J9&lt;0.6,0.3,IF(J9&lt;0.8,0.6,IF(J9&lt;1,1,IF(J9&lt;1.2,1.5,2))))</f>
        <v/>
      </c>
      <c r="M9">
        <f>IF((D9*INPUTS!B10*K9*L9)&lt;=25000,(D9*INPUTS!B10*K9*L9),IF((D9*INPUTS!B10*K9*L9)&lt;=40000,25000+(((D9*INPUTS!B10*K9*L9)-25000)*0.85),IF((D9*INPUTS!B10*K9*L9)&lt;=75000,37750+(((D9*INPUTS!B10*K9*L9)-40000)*0.70),62250+(((D9*INPUTS!B10*K9*L9)-75000)*0.50))))</f>
        <v/>
      </c>
      <c r="N9">
        <f>MAX(IF(E9&lt;0.8,(C9*0.8)-D9,IF(E9&lt;1,(C9*1)-D9,IF(E9&lt;1.2,(C9*1.2)-D9,IF(E9&lt;1.4,(C9*1.4)-D9,(C9*1.5)-D9)))),0)</f>
        <v/>
      </c>
      <c r="O9">
        <f>IF(E9&lt;0.8,"Increase Sales Volume",IF(F9&lt;0.6,"Activate More Branches",IF(G9&lt;0.5,"Push Focus Products","Strong Performance")))</f>
        <v/>
      </c>
    </row>
    <row r="10">
      <c r="E10">
        <f>D10/C10</f>
        <v/>
      </c>
      <c r="J10">
        <f>MIN((E10*INPUTS!B16)+(F10*INPUTS!B17)+(G10*INPUTS!B18)+(H10*INPUTS!B19)+(I10*INPUTS!B20),1.5)</f>
        <v/>
      </c>
      <c r="K10">
        <f>IF(J10&lt;0.6,0.3,IF(J10&lt;0.8,0.6,IF(J10&lt;1,1,IF(J10&lt;1.2,1.5,2))))</f>
        <v/>
      </c>
      <c r="M10">
        <f>IF((D10*INPUTS!B10*K10*L10)&lt;=25000,(D10*INPUTS!B10*K10*L10),IF((D10*INPUTS!B10*K10*L10)&lt;=40000,25000+(((D10*INPUTS!B10*K10*L10)-25000)*0.85),IF((D10*INPUTS!B10*K10*L10)&lt;=75000,37750+(((D10*INPUTS!B10*K10*L10)-40000)*0.70),62250+(((D10*INPUTS!B10*K10*L10)-75000)*0.50))))</f>
        <v/>
      </c>
      <c r="N10">
        <f>MAX(IF(E10&lt;0.8,(C10*0.8)-D10,IF(E10&lt;1,(C10*1)-D10,IF(E10&lt;1.2,(C10*1.2)-D10,IF(E10&lt;1.4,(C10*1.4)-D10,(C10*1.5)-D10)))),0)</f>
        <v/>
      </c>
      <c r="O10">
        <f>IF(E10&lt;0.8,"Increase Sales Volume",IF(F10&lt;0.6,"Activate More Branches",IF(G10&lt;0.5,"Push Focus Products","Strong Performance")))</f>
        <v/>
      </c>
    </row>
    <row r="11">
      <c r="E11">
        <f>D11/C11</f>
        <v/>
      </c>
      <c r="J11">
        <f>MIN((E11*INPUTS!B16)+(F11*INPUTS!B17)+(G11*INPUTS!B18)+(H11*INPUTS!B19)+(I11*INPUTS!B20),1.5)</f>
        <v/>
      </c>
      <c r="K11">
        <f>IF(J11&lt;0.6,0.3,IF(J11&lt;0.8,0.6,IF(J11&lt;1,1,IF(J11&lt;1.2,1.5,2))))</f>
        <v/>
      </c>
      <c r="M11">
        <f>IF((D11*INPUTS!B10*K11*L11)&lt;=25000,(D11*INPUTS!B10*K11*L11),IF((D11*INPUTS!B10*K11*L11)&lt;=40000,25000+(((D11*INPUTS!B10*K11*L11)-25000)*0.85),IF((D11*INPUTS!B10*K11*L11)&lt;=75000,37750+(((D11*INPUTS!B10*K11*L11)-40000)*0.70),62250+(((D11*INPUTS!B10*K11*L11)-75000)*0.50))))</f>
        <v/>
      </c>
      <c r="N11">
        <f>MAX(IF(E11&lt;0.8,(C11*0.8)-D11,IF(E11&lt;1,(C11*1)-D11,IF(E11&lt;1.2,(C11*1.2)-D11,IF(E11&lt;1.4,(C11*1.4)-D11,(C11*1.5)-D11)))),0)</f>
        <v/>
      </c>
      <c r="O11">
        <f>IF(E11&lt;0.8,"Increase Sales Volume",IF(F11&lt;0.6,"Activate More Branches",IF(G11&lt;0.5,"Push Focus Products","Strong Performance")))</f>
        <v/>
      </c>
    </row>
    <row r="12">
      <c r="E12">
        <f>D12/C12</f>
        <v/>
      </c>
      <c r="J12">
        <f>MIN((E12*INPUTS!B16)+(F12*INPUTS!B17)+(G12*INPUTS!B18)+(H12*INPUTS!B19)+(I12*INPUTS!B20),1.5)</f>
        <v/>
      </c>
      <c r="K12">
        <f>IF(J12&lt;0.6,0.3,IF(J12&lt;0.8,0.6,IF(J12&lt;1,1,IF(J12&lt;1.2,1.5,2))))</f>
        <v/>
      </c>
      <c r="M12">
        <f>IF((D12*INPUTS!B10*K12*L12)&lt;=25000,(D12*INPUTS!B10*K12*L12),IF((D12*INPUTS!B10*K12*L12)&lt;=40000,25000+(((D12*INPUTS!B10*K12*L12)-25000)*0.85),IF((D12*INPUTS!B10*K12*L12)&lt;=75000,37750+(((D12*INPUTS!B10*K12*L12)-40000)*0.70),62250+(((D12*INPUTS!B10*K12*L12)-75000)*0.50))))</f>
        <v/>
      </c>
      <c r="N12">
        <f>MAX(IF(E12&lt;0.8,(C12*0.8)-D12,IF(E12&lt;1,(C12*1)-D12,IF(E12&lt;1.2,(C12*1.2)-D12,IF(E12&lt;1.4,(C12*1.4)-D12,(C12*1.5)-D12)))),0)</f>
        <v/>
      </c>
      <c r="O12">
        <f>IF(E12&lt;0.8,"Increase Sales Volume",IF(F12&lt;0.6,"Activate More Branches",IF(G12&lt;0.5,"Push Focus Products","Strong Performance")))</f>
        <v/>
      </c>
    </row>
    <row r="13">
      <c r="E13">
        <f>D13/C13</f>
        <v/>
      </c>
      <c r="J13">
        <f>MIN((E13*INPUTS!B16)+(F13*INPUTS!B17)+(G13*INPUTS!B18)+(H13*INPUTS!B19)+(I13*INPUTS!B20),1.5)</f>
        <v/>
      </c>
      <c r="K13">
        <f>IF(J13&lt;0.6,0.3,IF(J13&lt;0.8,0.6,IF(J13&lt;1,1,IF(J13&lt;1.2,1.5,2))))</f>
        <v/>
      </c>
      <c r="M13">
        <f>IF((D13*INPUTS!B10*K13*L13)&lt;=25000,(D13*INPUTS!B10*K13*L13),IF((D13*INPUTS!B10*K13*L13)&lt;=40000,25000+(((D13*INPUTS!B10*K13*L13)-25000)*0.85),IF((D13*INPUTS!B10*K13*L13)&lt;=75000,37750+(((D13*INPUTS!B10*K13*L13)-40000)*0.70),62250+(((D13*INPUTS!B10*K13*L13)-75000)*0.50))))</f>
        <v/>
      </c>
      <c r="N13">
        <f>MAX(IF(E13&lt;0.8,(C13*0.8)-D13,IF(E13&lt;1,(C13*1)-D13,IF(E13&lt;1.2,(C13*1.2)-D13,IF(E13&lt;1.4,(C13*1.4)-D13,(C13*1.5)-D13)))),0)</f>
        <v/>
      </c>
      <c r="O13">
        <f>IF(E13&lt;0.8,"Increase Sales Volume",IF(F13&lt;0.6,"Activate More Branches",IF(G13&lt;0.5,"Push Focus Products","Strong Performance")))</f>
        <v/>
      </c>
    </row>
    <row r="14">
      <c r="E14">
        <f>D14/C14</f>
        <v/>
      </c>
      <c r="J14">
        <f>MIN((E14*INPUTS!B16)+(F14*INPUTS!B17)+(G14*INPUTS!B18)+(H14*INPUTS!B19)+(I14*INPUTS!B20),1.5)</f>
        <v/>
      </c>
      <c r="K14">
        <f>IF(J14&lt;0.6,0.3,IF(J14&lt;0.8,0.6,IF(J14&lt;1,1,IF(J14&lt;1.2,1.5,2))))</f>
        <v/>
      </c>
      <c r="M14">
        <f>IF((D14*INPUTS!B10*K14*L14)&lt;=25000,(D14*INPUTS!B10*K14*L14),IF((D14*INPUTS!B10*K14*L14)&lt;=40000,25000+(((D14*INPUTS!B10*K14*L14)-25000)*0.85),IF((D14*INPUTS!B10*K14*L14)&lt;=75000,37750+(((D14*INPUTS!B10*K14*L14)-40000)*0.70),62250+(((D14*INPUTS!B10*K14*L14)-75000)*0.50))))</f>
        <v/>
      </c>
      <c r="N14">
        <f>MAX(IF(E14&lt;0.8,(C14*0.8)-D14,IF(E14&lt;1,(C14*1)-D14,IF(E14&lt;1.2,(C14*1.2)-D14,IF(E14&lt;1.4,(C14*1.4)-D14,(C14*1.5)-D14)))),0)</f>
        <v/>
      </c>
      <c r="O14">
        <f>IF(E14&lt;0.8,"Increase Sales Volume",IF(F14&lt;0.6,"Activate More Branches",IF(G14&lt;0.5,"Push Focus Products","Strong Performance")))</f>
        <v/>
      </c>
    </row>
    <row r="15">
      <c r="E15">
        <f>D15/C15</f>
        <v/>
      </c>
      <c r="J15">
        <f>MIN((E15*INPUTS!B16)+(F15*INPUTS!B17)+(G15*INPUTS!B18)+(H15*INPUTS!B19)+(I15*INPUTS!B20),1.5)</f>
        <v/>
      </c>
      <c r="K15">
        <f>IF(J15&lt;0.6,0.3,IF(J15&lt;0.8,0.6,IF(J15&lt;1,1,IF(J15&lt;1.2,1.5,2))))</f>
        <v/>
      </c>
      <c r="M15">
        <f>IF((D15*INPUTS!B10*K15*L15)&lt;=25000,(D15*INPUTS!B10*K15*L15),IF((D15*INPUTS!B10*K15*L15)&lt;=40000,25000+(((D15*INPUTS!B10*K15*L15)-25000)*0.85),IF((D15*INPUTS!B10*K15*L15)&lt;=75000,37750+(((D15*INPUTS!B10*K15*L15)-40000)*0.70),62250+(((D15*INPUTS!B10*K15*L15)-75000)*0.50))))</f>
        <v/>
      </c>
      <c r="N15">
        <f>MAX(IF(E15&lt;0.8,(C15*0.8)-D15,IF(E15&lt;1,(C15*1)-D15,IF(E15&lt;1.2,(C15*1.2)-D15,IF(E15&lt;1.4,(C15*1.4)-D15,(C15*1.5)-D15)))),0)</f>
        <v/>
      </c>
      <c r="O15">
        <f>IF(E15&lt;0.8,"Increase Sales Volume",IF(F15&lt;0.6,"Activate More Branches",IF(G15&lt;0.5,"Push Focus Products","Strong Performance")))</f>
        <v/>
      </c>
    </row>
    <row r="16">
      <c r="E16">
        <f>D16/C16</f>
        <v/>
      </c>
      <c r="J16">
        <f>MIN((E16*INPUTS!B16)+(F16*INPUTS!B17)+(G16*INPUTS!B18)+(H16*INPUTS!B19)+(I16*INPUTS!B20),1.5)</f>
        <v/>
      </c>
      <c r="K16">
        <f>IF(J16&lt;0.6,0.3,IF(J16&lt;0.8,0.6,IF(J16&lt;1,1,IF(J16&lt;1.2,1.5,2))))</f>
        <v/>
      </c>
      <c r="M16">
        <f>IF((D16*INPUTS!B10*K16*L16)&lt;=25000,(D16*INPUTS!B10*K16*L16),IF((D16*INPUTS!B10*K16*L16)&lt;=40000,25000+(((D16*INPUTS!B10*K16*L16)-25000)*0.85),IF((D16*INPUTS!B10*K16*L16)&lt;=75000,37750+(((D16*INPUTS!B10*K16*L16)-40000)*0.70),62250+(((D16*INPUTS!B10*K16*L16)-75000)*0.50))))</f>
        <v/>
      </c>
      <c r="N16">
        <f>MAX(IF(E16&lt;0.8,(C16*0.8)-D16,IF(E16&lt;1,(C16*1)-D16,IF(E16&lt;1.2,(C16*1.2)-D16,IF(E16&lt;1.4,(C16*1.4)-D16,(C16*1.5)-D16)))),0)</f>
        <v/>
      </c>
      <c r="O16">
        <f>IF(E16&lt;0.8,"Increase Sales Volume",IF(F16&lt;0.6,"Activate More Branches",IF(G16&lt;0.5,"Push Focus Products","Strong Performance")))</f>
        <v/>
      </c>
    </row>
    <row r="17">
      <c r="E17">
        <f>D17/C17</f>
        <v/>
      </c>
      <c r="J17">
        <f>MIN((E17*INPUTS!B16)+(F17*INPUTS!B17)+(G17*INPUTS!B18)+(H17*INPUTS!B19)+(I17*INPUTS!B20),1.5)</f>
        <v/>
      </c>
      <c r="K17">
        <f>IF(J17&lt;0.6,0.3,IF(J17&lt;0.8,0.6,IF(J17&lt;1,1,IF(J17&lt;1.2,1.5,2))))</f>
        <v/>
      </c>
      <c r="M17">
        <f>IF((D17*INPUTS!B10*K17*L17)&lt;=25000,(D17*INPUTS!B10*K17*L17),IF((D17*INPUTS!B10*K17*L17)&lt;=40000,25000+(((D17*INPUTS!B10*K17*L17)-25000)*0.85),IF((D17*INPUTS!B10*K17*L17)&lt;=75000,37750+(((D17*INPUTS!B10*K17*L17)-40000)*0.70),62250+(((D17*INPUTS!B10*K17*L17)-75000)*0.50))))</f>
        <v/>
      </c>
      <c r="N17">
        <f>MAX(IF(E17&lt;0.8,(C17*0.8)-D17,IF(E17&lt;1,(C17*1)-D17,IF(E17&lt;1.2,(C17*1.2)-D17,IF(E17&lt;1.4,(C17*1.4)-D17,(C17*1.5)-D17)))),0)</f>
        <v/>
      </c>
      <c r="O17">
        <f>IF(E17&lt;0.8,"Increase Sales Volume",IF(F17&lt;0.6,"Activate More Branches",IF(G17&lt;0.5,"Push Focus Products","Strong Performance")))</f>
        <v/>
      </c>
    </row>
    <row r="18">
      <c r="E18">
        <f>D18/C18</f>
        <v/>
      </c>
      <c r="J18">
        <f>MIN((E18*INPUTS!B16)+(F18*INPUTS!B17)+(G18*INPUTS!B18)+(H18*INPUTS!B19)+(I18*INPUTS!B20),1.5)</f>
        <v/>
      </c>
      <c r="K18">
        <f>IF(J18&lt;0.6,0.3,IF(J18&lt;0.8,0.6,IF(J18&lt;1,1,IF(J18&lt;1.2,1.5,2))))</f>
        <v/>
      </c>
      <c r="M18">
        <f>IF((D18*INPUTS!B10*K18*L18)&lt;=25000,(D18*INPUTS!B10*K18*L18),IF((D18*INPUTS!B10*K18*L18)&lt;=40000,25000+(((D18*INPUTS!B10*K18*L18)-25000)*0.85),IF((D18*INPUTS!B10*K18*L18)&lt;=75000,37750+(((D18*INPUTS!B10*K18*L18)-40000)*0.70),62250+(((D18*INPUTS!B10*K18*L18)-75000)*0.50))))</f>
        <v/>
      </c>
      <c r="N18">
        <f>MAX(IF(E18&lt;0.8,(C18*0.8)-D18,IF(E18&lt;1,(C18*1)-D18,IF(E18&lt;1.2,(C18*1.2)-D18,IF(E18&lt;1.4,(C18*1.4)-D18,(C18*1.5)-D18)))),0)</f>
        <v/>
      </c>
      <c r="O18">
        <f>IF(E18&lt;0.8,"Increase Sales Volume",IF(F18&lt;0.6,"Activate More Branches",IF(G18&lt;0.5,"Push Focus Products","Strong Performance")))</f>
        <v/>
      </c>
    </row>
    <row r="19">
      <c r="E19">
        <f>D19/C19</f>
        <v/>
      </c>
      <c r="J19">
        <f>MIN((E19*INPUTS!B16)+(F19*INPUTS!B17)+(G19*INPUTS!B18)+(H19*INPUTS!B19)+(I19*INPUTS!B20),1.5)</f>
        <v/>
      </c>
      <c r="K19">
        <f>IF(J19&lt;0.6,0.3,IF(J19&lt;0.8,0.6,IF(J19&lt;1,1,IF(J19&lt;1.2,1.5,2))))</f>
        <v/>
      </c>
      <c r="M19">
        <f>IF((D19*INPUTS!B10*K19*L19)&lt;=25000,(D19*INPUTS!B10*K19*L19),IF((D19*INPUTS!B10*K19*L19)&lt;=40000,25000+(((D19*INPUTS!B10*K19*L19)-25000)*0.85),IF((D19*INPUTS!B10*K19*L19)&lt;=75000,37750+(((D19*INPUTS!B10*K19*L19)-40000)*0.70),62250+(((D19*INPUTS!B10*K19*L19)-75000)*0.50))))</f>
        <v/>
      </c>
      <c r="N19">
        <f>MAX(IF(E19&lt;0.8,(C19*0.8)-D19,IF(E19&lt;1,(C19*1)-D19,IF(E19&lt;1.2,(C19*1.2)-D19,IF(E19&lt;1.4,(C19*1.4)-D19,(C19*1.5)-D19)))),0)</f>
        <v/>
      </c>
      <c r="O19">
        <f>IF(E19&lt;0.8,"Increase Sales Volume",IF(F19&lt;0.6,"Activate More Branches",IF(G19&lt;0.5,"Push Focus Products","Strong Performance")))</f>
        <v/>
      </c>
    </row>
    <row r="20">
      <c r="E20">
        <f>D20/C20</f>
        <v/>
      </c>
      <c r="J20">
        <f>MIN((E20*INPUTS!B16)+(F20*INPUTS!B17)+(G20*INPUTS!B18)+(H20*INPUTS!B19)+(I20*INPUTS!B20),1.5)</f>
        <v/>
      </c>
      <c r="K20">
        <f>IF(J20&lt;0.6,0.3,IF(J20&lt;0.8,0.6,IF(J20&lt;1,1,IF(J20&lt;1.2,1.5,2))))</f>
        <v/>
      </c>
      <c r="M20">
        <f>IF((D20*INPUTS!B10*K20*L20)&lt;=25000,(D20*INPUTS!B10*K20*L20),IF((D20*INPUTS!B10*K20*L20)&lt;=40000,25000+(((D20*INPUTS!B10*K20*L20)-25000)*0.85),IF((D20*INPUTS!B10*K20*L20)&lt;=75000,37750+(((D20*INPUTS!B10*K20*L20)-40000)*0.70),62250+(((D20*INPUTS!B10*K20*L20)-75000)*0.50))))</f>
        <v/>
      </c>
      <c r="N20">
        <f>MAX(IF(E20&lt;0.8,(C20*0.8)-D20,IF(E20&lt;1,(C20*1)-D20,IF(E20&lt;1.2,(C20*1.2)-D20,IF(E20&lt;1.4,(C20*1.4)-D20,(C20*1.5)-D20)))),0)</f>
        <v/>
      </c>
      <c r="O20">
        <f>IF(E20&lt;0.8,"Increase Sales Volume",IF(F20&lt;0.6,"Activate More Branches",IF(G20&lt;0.5,"Push Focus Products","Strong Performance")))</f>
        <v/>
      </c>
    </row>
    <row r="21">
      <c r="E21">
        <f>D21/C21</f>
        <v/>
      </c>
      <c r="J21">
        <f>MIN((E21*INPUTS!B16)+(F21*INPUTS!B17)+(G21*INPUTS!B18)+(H21*INPUTS!B19)+(I21*INPUTS!B20),1.5)</f>
        <v/>
      </c>
      <c r="K21">
        <f>IF(J21&lt;0.6,0.3,IF(J21&lt;0.8,0.6,IF(J21&lt;1,1,IF(J21&lt;1.2,1.5,2))))</f>
        <v/>
      </c>
      <c r="M21">
        <f>IF((D21*INPUTS!B10*K21*L21)&lt;=25000,(D21*INPUTS!B10*K21*L21),IF((D21*INPUTS!B10*K21*L21)&lt;=40000,25000+(((D21*INPUTS!B10*K21*L21)-25000)*0.85),IF((D21*INPUTS!B10*K21*L21)&lt;=75000,37750+(((D21*INPUTS!B10*K21*L21)-40000)*0.70),62250+(((D21*INPUTS!B10*K21*L21)-75000)*0.50))))</f>
        <v/>
      </c>
      <c r="N21">
        <f>MAX(IF(E21&lt;0.8,(C21*0.8)-D21,IF(E21&lt;1,(C21*1)-D21,IF(E21&lt;1.2,(C21*1.2)-D21,IF(E21&lt;1.4,(C21*1.4)-D21,(C21*1.5)-D21)))),0)</f>
        <v/>
      </c>
      <c r="O21">
        <f>IF(E21&lt;0.8,"Increase Sales Volume",IF(F21&lt;0.6,"Activate More Branches",IF(G21&lt;0.5,"Push Focus Products","Strong Performance")))</f>
        <v/>
      </c>
    </row>
    <row r="22">
      <c r="E22">
        <f>D22/C22</f>
        <v/>
      </c>
      <c r="J22">
        <f>MIN((E22*INPUTS!B16)+(F22*INPUTS!B17)+(G22*INPUTS!B18)+(H22*INPUTS!B19)+(I22*INPUTS!B20),1.5)</f>
        <v/>
      </c>
      <c r="K22">
        <f>IF(J22&lt;0.6,0.3,IF(J22&lt;0.8,0.6,IF(J22&lt;1,1,IF(J22&lt;1.2,1.5,2))))</f>
        <v/>
      </c>
      <c r="M22">
        <f>IF((D22*INPUTS!B10*K22*L22)&lt;=25000,(D22*INPUTS!B10*K22*L22),IF((D22*INPUTS!B10*K22*L22)&lt;=40000,25000+(((D22*INPUTS!B10*K22*L22)-25000)*0.85),IF((D22*INPUTS!B10*K22*L22)&lt;=75000,37750+(((D22*INPUTS!B10*K22*L22)-40000)*0.70),62250+(((D22*INPUTS!B10*K22*L22)-75000)*0.50))))</f>
        <v/>
      </c>
      <c r="N22">
        <f>MAX(IF(E22&lt;0.8,(C22*0.8)-D22,IF(E22&lt;1,(C22*1)-D22,IF(E22&lt;1.2,(C22*1.2)-D22,IF(E22&lt;1.4,(C22*1.4)-D22,(C22*1.5)-D22)))),0)</f>
        <v/>
      </c>
      <c r="O22">
        <f>IF(E22&lt;0.8,"Increase Sales Volume",IF(F22&lt;0.6,"Activate More Branches",IF(G22&lt;0.5,"Push Focus Products","Strong Performance")))</f>
        <v/>
      </c>
    </row>
    <row r="23">
      <c r="E23">
        <f>D23/C23</f>
        <v/>
      </c>
      <c r="J23">
        <f>MIN((E23*INPUTS!B16)+(F23*INPUTS!B17)+(G23*INPUTS!B18)+(H23*INPUTS!B19)+(I23*INPUTS!B20),1.5)</f>
        <v/>
      </c>
      <c r="K23">
        <f>IF(J23&lt;0.6,0.3,IF(J23&lt;0.8,0.6,IF(J23&lt;1,1,IF(J23&lt;1.2,1.5,2))))</f>
        <v/>
      </c>
      <c r="M23">
        <f>IF((D23*INPUTS!B10*K23*L23)&lt;=25000,(D23*INPUTS!B10*K23*L23),IF((D23*INPUTS!B10*K23*L23)&lt;=40000,25000+(((D23*INPUTS!B10*K23*L23)-25000)*0.85),IF((D23*INPUTS!B10*K23*L23)&lt;=75000,37750+(((D23*INPUTS!B10*K23*L23)-40000)*0.70),62250+(((D23*INPUTS!B10*K23*L23)-75000)*0.50))))</f>
        <v/>
      </c>
      <c r="N23">
        <f>MAX(IF(E23&lt;0.8,(C23*0.8)-D23,IF(E23&lt;1,(C23*1)-D23,IF(E23&lt;1.2,(C23*1.2)-D23,IF(E23&lt;1.4,(C23*1.4)-D23,(C23*1.5)-D23)))),0)</f>
        <v/>
      </c>
      <c r="O23">
        <f>IF(E23&lt;0.8,"Increase Sales Volume",IF(F23&lt;0.6,"Activate More Branches",IF(G23&lt;0.5,"Push Focus Products","Strong Performance")))</f>
        <v/>
      </c>
    </row>
    <row r="24">
      <c r="E24">
        <f>D24/C24</f>
        <v/>
      </c>
      <c r="J24">
        <f>MIN((E24*INPUTS!B16)+(F24*INPUTS!B17)+(G24*INPUTS!B18)+(H24*INPUTS!B19)+(I24*INPUTS!B20),1.5)</f>
        <v/>
      </c>
      <c r="K24">
        <f>IF(J24&lt;0.6,0.3,IF(J24&lt;0.8,0.6,IF(J24&lt;1,1,IF(J24&lt;1.2,1.5,2))))</f>
        <v/>
      </c>
      <c r="M24">
        <f>IF((D24*INPUTS!B10*K24*L24)&lt;=25000,(D24*INPUTS!B10*K24*L24),IF((D24*INPUTS!B10*K24*L24)&lt;=40000,25000+(((D24*INPUTS!B10*K24*L24)-25000)*0.85),IF((D24*INPUTS!B10*K24*L24)&lt;=75000,37750+(((D24*INPUTS!B10*K24*L24)-40000)*0.70),62250+(((D24*INPUTS!B10*K24*L24)-75000)*0.50))))</f>
        <v/>
      </c>
      <c r="N24">
        <f>MAX(IF(E24&lt;0.8,(C24*0.8)-D24,IF(E24&lt;1,(C24*1)-D24,IF(E24&lt;1.2,(C24*1.2)-D24,IF(E24&lt;1.4,(C24*1.4)-D24,(C24*1.5)-D24)))),0)</f>
        <v/>
      </c>
      <c r="O24">
        <f>IF(E24&lt;0.8,"Increase Sales Volume",IF(F24&lt;0.6,"Activate More Branches",IF(G24&lt;0.5,"Push Focus Products","Strong Performance")))</f>
        <v/>
      </c>
    </row>
    <row r="25">
      <c r="E25">
        <f>D25/C25</f>
        <v/>
      </c>
      <c r="J25">
        <f>MIN((E25*INPUTS!B16)+(F25*INPUTS!B17)+(G25*INPUTS!B18)+(H25*INPUTS!B19)+(I25*INPUTS!B20),1.5)</f>
        <v/>
      </c>
      <c r="K25">
        <f>IF(J25&lt;0.6,0.3,IF(J25&lt;0.8,0.6,IF(J25&lt;1,1,IF(J25&lt;1.2,1.5,2))))</f>
        <v/>
      </c>
      <c r="M25">
        <f>IF((D25*INPUTS!B10*K25*L25)&lt;=25000,(D25*INPUTS!B10*K25*L25),IF((D25*INPUTS!B10*K25*L25)&lt;=40000,25000+(((D25*INPUTS!B10*K25*L25)-25000)*0.85),IF((D25*INPUTS!B10*K25*L25)&lt;=75000,37750+(((D25*INPUTS!B10*K25*L25)-40000)*0.70),62250+(((D25*INPUTS!B10*K25*L25)-75000)*0.50))))</f>
        <v/>
      </c>
      <c r="N25">
        <f>MAX(IF(E25&lt;0.8,(C25*0.8)-D25,IF(E25&lt;1,(C25*1)-D25,IF(E25&lt;1.2,(C25*1.2)-D25,IF(E25&lt;1.4,(C25*1.4)-D25,(C25*1.5)-D25)))),0)</f>
        <v/>
      </c>
      <c r="O25">
        <f>IF(E25&lt;0.8,"Increase Sales Volume",IF(F25&lt;0.6,"Activate More Branches",IF(G25&lt;0.5,"Push Focus Products","Strong Performance")))</f>
        <v/>
      </c>
    </row>
    <row r="26">
      <c r="E26">
        <f>D26/C26</f>
        <v/>
      </c>
      <c r="J26">
        <f>MIN((E26*INPUTS!B16)+(F26*INPUTS!B17)+(G26*INPUTS!B18)+(H26*INPUTS!B19)+(I26*INPUTS!B20),1.5)</f>
        <v/>
      </c>
      <c r="K26">
        <f>IF(J26&lt;0.6,0.3,IF(J26&lt;0.8,0.6,IF(J26&lt;1,1,IF(J26&lt;1.2,1.5,2))))</f>
        <v/>
      </c>
      <c r="M26">
        <f>IF((D26*INPUTS!B10*K26*L26)&lt;=25000,(D26*INPUTS!B10*K26*L26),IF((D26*INPUTS!B10*K26*L26)&lt;=40000,25000+(((D26*INPUTS!B10*K26*L26)-25000)*0.85),IF((D26*INPUTS!B10*K26*L26)&lt;=75000,37750+(((D26*INPUTS!B10*K26*L26)-40000)*0.70),62250+(((D26*INPUTS!B10*K26*L26)-75000)*0.50))))</f>
        <v/>
      </c>
      <c r="N26">
        <f>MAX(IF(E26&lt;0.8,(C26*0.8)-D26,IF(E26&lt;1,(C26*1)-D26,IF(E26&lt;1.2,(C26*1.2)-D26,IF(E26&lt;1.4,(C26*1.4)-D26,(C26*1.5)-D26)))),0)</f>
        <v/>
      </c>
      <c r="O26">
        <f>IF(E26&lt;0.8,"Increase Sales Volume",IF(F26&lt;0.6,"Activate More Branches",IF(G26&lt;0.5,"Push Focus Products","Strong Performance")))</f>
        <v/>
      </c>
    </row>
    <row r="27">
      <c r="E27">
        <f>D27/C27</f>
        <v/>
      </c>
      <c r="J27">
        <f>MIN((E27*INPUTS!B16)+(F27*INPUTS!B17)+(G27*INPUTS!B18)+(H27*INPUTS!B19)+(I27*INPUTS!B20),1.5)</f>
        <v/>
      </c>
      <c r="K27">
        <f>IF(J27&lt;0.6,0.3,IF(J27&lt;0.8,0.6,IF(J27&lt;1,1,IF(J27&lt;1.2,1.5,2))))</f>
        <v/>
      </c>
      <c r="M27">
        <f>IF((D27*INPUTS!B10*K27*L27)&lt;=25000,(D27*INPUTS!B10*K27*L27),IF((D27*INPUTS!B10*K27*L27)&lt;=40000,25000+(((D27*INPUTS!B10*K27*L27)-25000)*0.85),IF((D27*INPUTS!B10*K27*L27)&lt;=75000,37750+(((D27*INPUTS!B10*K27*L27)-40000)*0.70),62250+(((D27*INPUTS!B10*K27*L27)-75000)*0.50))))</f>
        <v/>
      </c>
      <c r="N27">
        <f>MAX(IF(E27&lt;0.8,(C27*0.8)-D27,IF(E27&lt;1,(C27*1)-D27,IF(E27&lt;1.2,(C27*1.2)-D27,IF(E27&lt;1.4,(C27*1.4)-D27,(C27*1.5)-D27)))),0)</f>
        <v/>
      </c>
      <c r="O27">
        <f>IF(E27&lt;0.8,"Increase Sales Volume",IF(F27&lt;0.6,"Activate More Branches",IF(G27&lt;0.5,"Push Focus Products","Strong Performance")))</f>
        <v/>
      </c>
    </row>
    <row r="28">
      <c r="E28">
        <f>D28/C28</f>
        <v/>
      </c>
      <c r="J28">
        <f>MIN((E28*INPUTS!B16)+(F28*INPUTS!B17)+(G28*INPUTS!B18)+(H28*INPUTS!B19)+(I28*INPUTS!B20),1.5)</f>
        <v/>
      </c>
      <c r="K28">
        <f>IF(J28&lt;0.6,0.3,IF(J28&lt;0.8,0.6,IF(J28&lt;1,1,IF(J28&lt;1.2,1.5,2))))</f>
        <v/>
      </c>
      <c r="M28">
        <f>IF((D28*INPUTS!B10*K28*L28)&lt;=25000,(D28*INPUTS!B10*K28*L28),IF((D28*INPUTS!B10*K28*L28)&lt;=40000,25000+(((D28*INPUTS!B10*K28*L28)-25000)*0.85),IF((D28*INPUTS!B10*K28*L28)&lt;=75000,37750+(((D28*INPUTS!B10*K28*L28)-40000)*0.70),62250+(((D28*INPUTS!B10*K28*L28)-75000)*0.50))))</f>
        <v/>
      </c>
      <c r="N28">
        <f>MAX(IF(E28&lt;0.8,(C28*0.8)-D28,IF(E28&lt;1,(C28*1)-D28,IF(E28&lt;1.2,(C28*1.2)-D28,IF(E28&lt;1.4,(C28*1.4)-D28,(C28*1.5)-D28)))),0)</f>
        <v/>
      </c>
      <c r="O28">
        <f>IF(E28&lt;0.8,"Increase Sales Volume",IF(F28&lt;0.6,"Activate More Branches",IF(G28&lt;0.5,"Push Focus Products","Strong Performance")))</f>
        <v/>
      </c>
    </row>
    <row r="29">
      <c r="E29">
        <f>D29/C29</f>
        <v/>
      </c>
      <c r="J29">
        <f>MIN((E29*INPUTS!B16)+(F29*INPUTS!B17)+(G29*INPUTS!B18)+(H29*INPUTS!B19)+(I29*INPUTS!B20),1.5)</f>
        <v/>
      </c>
      <c r="K29">
        <f>IF(J29&lt;0.6,0.3,IF(J29&lt;0.8,0.6,IF(J29&lt;1,1,IF(J29&lt;1.2,1.5,2))))</f>
        <v/>
      </c>
      <c r="M29">
        <f>IF((D29*INPUTS!B10*K29*L29)&lt;=25000,(D29*INPUTS!B10*K29*L29),IF((D29*INPUTS!B10*K29*L29)&lt;=40000,25000+(((D29*INPUTS!B10*K29*L29)-25000)*0.85),IF((D29*INPUTS!B10*K29*L29)&lt;=75000,37750+(((D29*INPUTS!B10*K29*L29)-40000)*0.70),62250+(((D29*INPUTS!B10*K29*L29)-75000)*0.50))))</f>
        <v/>
      </c>
      <c r="N29">
        <f>MAX(IF(E29&lt;0.8,(C29*0.8)-D29,IF(E29&lt;1,(C29*1)-D29,IF(E29&lt;1.2,(C29*1.2)-D29,IF(E29&lt;1.4,(C29*1.4)-D29,(C29*1.5)-D29)))),0)</f>
        <v/>
      </c>
      <c r="O29">
        <f>IF(E29&lt;0.8,"Increase Sales Volume",IF(F29&lt;0.6,"Activate More Branches",IF(G29&lt;0.5,"Push Focus Products","Strong Performance")))</f>
        <v/>
      </c>
    </row>
    <row r="30">
      <c r="E30">
        <f>D30/C30</f>
        <v/>
      </c>
      <c r="J30">
        <f>MIN((E30*INPUTS!B16)+(F30*INPUTS!B17)+(G30*INPUTS!B18)+(H30*INPUTS!B19)+(I30*INPUTS!B20),1.5)</f>
        <v/>
      </c>
      <c r="K30">
        <f>IF(J30&lt;0.6,0.3,IF(J30&lt;0.8,0.6,IF(J30&lt;1,1,IF(J30&lt;1.2,1.5,2))))</f>
        <v/>
      </c>
      <c r="M30">
        <f>IF((D30*INPUTS!B10*K30*L30)&lt;=25000,(D30*INPUTS!B10*K30*L30),IF((D30*INPUTS!B10*K30*L30)&lt;=40000,25000+(((D30*INPUTS!B10*K30*L30)-25000)*0.85),IF((D30*INPUTS!B10*K30*L30)&lt;=75000,37750+(((D30*INPUTS!B10*K30*L30)-40000)*0.70),62250+(((D30*INPUTS!B10*K30*L30)-75000)*0.50))))</f>
        <v/>
      </c>
      <c r="N30">
        <f>MAX(IF(E30&lt;0.8,(C30*0.8)-D30,IF(E30&lt;1,(C30*1)-D30,IF(E30&lt;1.2,(C30*1.2)-D30,IF(E30&lt;1.4,(C30*1.4)-D30,(C30*1.5)-D30)))),0)</f>
        <v/>
      </c>
      <c r="O30">
        <f>IF(E30&lt;0.8,"Increase Sales Volume",IF(F30&lt;0.6,"Activate More Branches",IF(G30&lt;0.5,"Push Focus Products","Strong Performance")))</f>
        <v/>
      </c>
    </row>
    <row r="31">
      <c r="E31">
        <f>D31/C31</f>
        <v/>
      </c>
      <c r="J31">
        <f>MIN((E31*INPUTS!B16)+(F31*INPUTS!B17)+(G31*INPUTS!B18)+(H31*INPUTS!B19)+(I31*INPUTS!B20),1.5)</f>
        <v/>
      </c>
      <c r="K31">
        <f>IF(J31&lt;0.6,0.3,IF(J31&lt;0.8,0.6,IF(J31&lt;1,1,IF(J31&lt;1.2,1.5,2))))</f>
        <v/>
      </c>
      <c r="M31">
        <f>IF((D31*INPUTS!B10*K31*L31)&lt;=25000,(D31*INPUTS!B10*K31*L31),IF((D31*INPUTS!B10*K31*L31)&lt;=40000,25000+(((D31*INPUTS!B10*K31*L31)-25000)*0.85),IF((D31*INPUTS!B10*K31*L31)&lt;=75000,37750+(((D31*INPUTS!B10*K31*L31)-40000)*0.70),62250+(((D31*INPUTS!B10*K31*L31)-75000)*0.50))))</f>
        <v/>
      </c>
      <c r="N31">
        <f>MAX(IF(E31&lt;0.8,(C31*0.8)-D31,IF(E31&lt;1,(C31*1)-D31,IF(E31&lt;1.2,(C31*1.2)-D31,IF(E31&lt;1.4,(C31*1.4)-D31,(C31*1.5)-D31)))),0)</f>
        <v/>
      </c>
      <c r="O31">
        <f>IF(E31&lt;0.8,"Increase Sales Volume",IF(F31&lt;0.6,"Activate More Branches",IF(G31&lt;0.5,"Push Focus Products","Strong Performance")))</f>
        <v/>
      </c>
    </row>
    <row r="32">
      <c r="E32">
        <f>D32/C32</f>
        <v/>
      </c>
      <c r="J32">
        <f>MIN((E32*INPUTS!B16)+(F32*INPUTS!B17)+(G32*INPUTS!B18)+(H32*INPUTS!B19)+(I32*INPUTS!B20),1.5)</f>
        <v/>
      </c>
      <c r="K32">
        <f>IF(J32&lt;0.6,0.3,IF(J32&lt;0.8,0.6,IF(J32&lt;1,1,IF(J32&lt;1.2,1.5,2))))</f>
        <v/>
      </c>
      <c r="M32">
        <f>IF((D32*INPUTS!B10*K32*L32)&lt;=25000,(D32*INPUTS!B10*K32*L32),IF((D32*INPUTS!B10*K32*L32)&lt;=40000,25000+(((D32*INPUTS!B10*K32*L32)-25000)*0.85),IF((D32*INPUTS!B10*K32*L32)&lt;=75000,37750+(((D32*INPUTS!B10*K32*L32)-40000)*0.70),62250+(((D32*INPUTS!B10*K32*L32)-75000)*0.50))))</f>
        <v/>
      </c>
      <c r="N32">
        <f>MAX(IF(E32&lt;0.8,(C32*0.8)-D32,IF(E32&lt;1,(C32*1)-D32,IF(E32&lt;1.2,(C32*1.2)-D32,IF(E32&lt;1.4,(C32*1.4)-D32,(C32*1.5)-D32)))),0)</f>
        <v/>
      </c>
      <c r="O32">
        <f>IF(E32&lt;0.8,"Increase Sales Volume",IF(F32&lt;0.6,"Activate More Branches",IF(G32&lt;0.5,"Push Focus Products","Strong Performance")))</f>
        <v/>
      </c>
    </row>
    <row r="33">
      <c r="E33">
        <f>D33/C33</f>
        <v/>
      </c>
      <c r="J33">
        <f>MIN((E33*INPUTS!B16)+(F33*INPUTS!B17)+(G33*INPUTS!B18)+(H33*INPUTS!B19)+(I33*INPUTS!B20),1.5)</f>
        <v/>
      </c>
      <c r="K33">
        <f>IF(J33&lt;0.6,0.3,IF(J33&lt;0.8,0.6,IF(J33&lt;1,1,IF(J33&lt;1.2,1.5,2))))</f>
        <v/>
      </c>
      <c r="M33">
        <f>IF((D33*INPUTS!B10*K33*L33)&lt;=25000,(D33*INPUTS!B10*K33*L33),IF((D33*INPUTS!B10*K33*L33)&lt;=40000,25000+(((D33*INPUTS!B10*K33*L33)-25000)*0.85),IF((D33*INPUTS!B10*K33*L33)&lt;=75000,37750+(((D33*INPUTS!B10*K33*L33)-40000)*0.70),62250+(((D33*INPUTS!B10*K33*L33)-75000)*0.50))))</f>
        <v/>
      </c>
      <c r="N33">
        <f>MAX(IF(E33&lt;0.8,(C33*0.8)-D33,IF(E33&lt;1,(C33*1)-D33,IF(E33&lt;1.2,(C33*1.2)-D33,IF(E33&lt;1.4,(C33*1.4)-D33,(C33*1.5)-D33)))),0)</f>
        <v/>
      </c>
      <c r="O33">
        <f>IF(E33&lt;0.8,"Increase Sales Volume",IF(F33&lt;0.6,"Activate More Branches",IF(G33&lt;0.5,"Push Focus Products","Strong Performance")))</f>
        <v/>
      </c>
    </row>
    <row r="34">
      <c r="E34">
        <f>D34/C34</f>
        <v/>
      </c>
      <c r="J34">
        <f>MIN((E34*INPUTS!B16)+(F34*INPUTS!B17)+(G34*INPUTS!B18)+(H34*INPUTS!B19)+(I34*INPUTS!B20),1.5)</f>
        <v/>
      </c>
      <c r="K34">
        <f>IF(J34&lt;0.6,0.3,IF(J34&lt;0.8,0.6,IF(J34&lt;1,1,IF(J34&lt;1.2,1.5,2))))</f>
        <v/>
      </c>
      <c r="M34">
        <f>IF((D34*INPUTS!B10*K34*L34)&lt;=25000,(D34*INPUTS!B10*K34*L34),IF((D34*INPUTS!B10*K34*L34)&lt;=40000,25000+(((D34*INPUTS!B10*K34*L34)-25000)*0.85),IF((D34*INPUTS!B10*K34*L34)&lt;=75000,37750+(((D34*INPUTS!B10*K34*L34)-40000)*0.70),62250+(((D34*INPUTS!B10*K34*L34)-75000)*0.50))))</f>
        <v/>
      </c>
      <c r="N34">
        <f>MAX(IF(E34&lt;0.8,(C34*0.8)-D34,IF(E34&lt;1,(C34*1)-D34,IF(E34&lt;1.2,(C34*1.2)-D34,IF(E34&lt;1.4,(C34*1.4)-D34,(C34*1.5)-D34)))),0)</f>
        <v/>
      </c>
      <c r="O34">
        <f>IF(E34&lt;0.8,"Increase Sales Volume",IF(F34&lt;0.6,"Activate More Branches",IF(G34&lt;0.5,"Push Focus Products","Strong Performance")))</f>
        <v/>
      </c>
    </row>
    <row r="35">
      <c r="E35">
        <f>D35/C35</f>
        <v/>
      </c>
      <c r="J35">
        <f>MIN((E35*INPUTS!B16)+(F35*INPUTS!B17)+(G35*INPUTS!B18)+(H35*INPUTS!B19)+(I35*INPUTS!B20),1.5)</f>
        <v/>
      </c>
      <c r="K35">
        <f>IF(J35&lt;0.6,0.3,IF(J35&lt;0.8,0.6,IF(J35&lt;1,1,IF(J35&lt;1.2,1.5,2))))</f>
        <v/>
      </c>
      <c r="M35">
        <f>IF((D35*INPUTS!B10*K35*L35)&lt;=25000,(D35*INPUTS!B10*K35*L35),IF((D35*INPUTS!B10*K35*L35)&lt;=40000,25000+(((D35*INPUTS!B10*K35*L35)-25000)*0.85),IF((D35*INPUTS!B10*K35*L35)&lt;=75000,37750+(((D35*INPUTS!B10*K35*L35)-40000)*0.70),62250+(((D35*INPUTS!B10*K35*L35)-75000)*0.50))))</f>
        <v/>
      </c>
      <c r="N35">
        <f>MAX(IF(E35&lt;0.8,(C35*0.8)-D35,IF(E35&lt;1,(C35*1)-D35,IF(E35&lt;1.2,(C35*1.2)-D35,IF(E35&lt;1.4,(C35*1.4)-D35,(C35*1.5)-D35)))),0)</f>
        <v/>
      </c>
      <c r="O35">
        <f>IF(E35&lt;0.8,"Increase Sales Volume",IF(F35&lt;0.6,"Activate More Branches",IF(G35&lt;0.5,"Push Focus Products","Strong Performance")))</f>
        <v/>
      </c>
    </row>
    <row r="36">
      <c r="E36">
        <f>D36/C36</f>
        <v/>
      </c>
      <c r="J36">
        <f>MIN((E36*INPUTS!B16)+(F36*INPUTS!B17)+(G36*INPUTS!B18)+(H36*INPUTS!B19)+(I36*INPUTS!B20),1.5)</f>
        <v/>
      </c>
      <c r="K36">
        <f>IF(J36&lt;0.6,0.3,IF(J36&lt;0.8,0.6,IF(J36&lt;1,1,IF(J36&lt;1.2,1.5,2))))</f>
        <v/>
      </c>
      <c r="M36">
        <f>IF((D36*INPUTS!B10*K36*L36)&lt;=25000,(D36*INPUTS!B10*K36*L36),IF((D36*INPUTS!B10*K36*L36)&lt;=40000,25000+(((D36*INPUTS!B10*K36*L36)-25000)*0.85),IF((D36*INPUTS!B10*K36*L36)&lt;=75000,37750+(((D36*INPUTS!B10*K36*L36)-40000)*0.70),62250+(((D36*INPUTS!B10*K36*L36)-75000)*0.50))))</f>
        <v/>
      </c>
      <c r="N36">
        <f>MAX(IF(E36&lt;0.8,(C36*0.8)-D36,IF(E36&lt;1,(C36*1)-D36,IF(E36&lt;1.2,(C36*1.2)-D36,IF(E36&lt;1.4,(C36*1.4)-D36,(C36*1.5)-D36)))),0)</f>
        <v/>
      </c>
      <c r="O36">
        <f>IF(E36&lt;0.8,"Increase Sales Volume",IF(F36&lt;0.6,"Activate More Branches",IF(G36&lt;0.5,"Push Focus Products","Strong Performance")))</f>
        <v/>
      </c>
    </row>
    <row r="37">
      <c r="E37">
        <f>D37/C37</f>
        <v/>
      </c>
      <c r="J37">
        <f>MIN((E37*INPUTS!B16)+(F37*INPUTS!B17)+(G37*INPUTS!B18)+(H37*INPUTS!B19)+(I37*INPUTS!B20),1.5)</f>
        <v/>
      </c>
      <c r="K37">
        <f>IF(J37&lt;0.6,0.3,IF(J37&lt;0.8,0.6,IF(J37&lt;1,1,IF(J37&lt;1.2,1.5,2))))</f>
        <v/>
      </c>
      <c r="M37">
        <f>IF((D37*INPUTS!B10*K37*L37)&lt;=25000,(D37*INPUTS!B10*K37*L37),IF((D37*INPUTS!B10*K37*L37)&lt;=40000,25000+(((D37*INPUTS!B10*K37*L37)-25000)*0.85),IF((D37*INPUTS!B10*K37*L37)&lt;=75000,37750+(((D37*INPUTS!B10*K37*L37)-40000)*0.70),62250+(((D37*INPUTS!B10*K37*L37)-75000)*0.50))))</f>
        <v/>
      </c>
      <c r="N37">
        <f>MAX(IF(E37&lt;0.8,(C37*0.8)-D37,IF(E37&lt;1,(C37*1)-D37,IF(E37&lt;1.2,(C37*1.2)-D37,IF(E37&lt;1.4,(C37*1.4)-D37,(C37*1.5)-D37)))),0)</f>
        <v/>
      </c>
      <c r="O37">
        <f>IF(E37&lt;0.8,"Increase Sales Volume",IF(F37&lt;0.6,"Activate More Branches",IF(G37&lt;0.5,"Push Focus Products","Strong Performance")))</f>
        <v/>
      </c>
    </row>
    <row r="38">
      <c r="E38">
        <f>D38/C38</f>
        <v/>
      </c>
      <c r="J38">
        <f>MIN((E38*INPUTS!B16)+(F38*INPUTS!B17)+(G38*INPUTS!B18)+(H38*INPUTS!B19)+(I38*INPUTS!B20),1.5)</f>
        <v/>
      </c>
      <c r="K38">
        <f>IF(J38&lt;0.6,0.3,IF(J38&lt;0.8,0.6,IF(J38&lt;1,1,IF(J38&lt;1.2,1.5,2))))</f>
        <v/>
      </c>
      <c r="M38">
        <f>IF((D38*INPUTS!B10*K38*L38)&lt;=25000,(D38*INPUTS!B10*K38*L38),IF((D38*INPUTS!B10*K38*L38)&lt;=40000,25000+(((D38*INPUTS!B10*K38*L38)-25000)*0.85),IF((D38*INPUTS!B10*K38*L38)&lt;=75000,37750+(((D38*INPUTS!B10*K38*L38)-40000)*0.70),62250+(((D38*INPUTS!B10*K38*L38)-75000)*0.50))))</f>
        <v/>
      </c>
      <c r="N38">
        <f>MAX(IF(E38&lt;0.8,(C38*0.8)-D38,IF(E38&lt;1,(C38*1)-D38,IF(E38&lt;1.2,(C38*1.2)-D38,IF(E38&lt;1.4,(C38*1.4)-D38,(C38*1.5)-D38)))),0)</f>
        <v/>
      </c>
      <c r="O38">
        <f>IF(E38&lt;0.8,"Increase Sales Volume",IF(F38&lt;0.6,"Activate More Branches",IF(G38&lt;0.5,"Push Focus Products","Strong Performance")))</f>
        <v/>
      </c>
    </row>
    <row r="39">
      <c r="E39">
        <f>D39/C39</f>
        <v/>
      </c>
      <c r="J39">
        <f>MIN((E39*INPUTS!B16)+(F39*INPUTS!B17)+(G39*INPUTS!B18)+(H39*INPUTS!B19)+(I39*INPUTS!B20),1.5)</f>
        <v/>
      </c>
      <c r="K39">
        <f>IF(J39&lt;0.6,0.3,IF(J39&lt;0.8,0.6,IF(J39&lt;1,1,IF(J39&lt;1.2,1.5,2))))</f>
        <v/>
      </c>
      <c r="M39">
        <f>IF((D39*INPUTS!B10*K39*L39)&lt;=25000,(D39*INPUTS!B10*K39*L39),IF((D39*INPUTS!B10*K39*L39)&lt;=40000,25000+(((D39*INPUTS!B10*K39*L39)-25000)*0.85),IF((D39*INPUTS!B10*K39*L39)&lt;=75000,37750+(((D39*INPUTS!B10*K39*L39)-40000)*0.70),62250+(((D39*INPUTS!B10*K39*L39)-75000)*0.50))))</f>
        <v/>
      </c>
      <c r="N39">
        <f>MAX(IF(E39&lt;0.8,(C39*0.8)-D39,IF(E39&lt;1,(C39*1)-D39,IF(E39&lt;1.2,(C39*1.2)-D39,IF(E39&lt;1.4,(C39*1.4)-D39,(C39*1.5)-D39)))),0)</f>
        <v/>
      </c>
      <c r="O39">
        <f>IF(E39&lt;0.8,"Increase Sales Volume",IF(F39&lt;0.6,"Activate More Branches",IF(G39&lt;0.5,"Push Focus Products","Strong Performance")))</f>
        <v/>
      </c>
    </row>
    <row r="40">
      <c r="E40">
        <f>D40/C40</f>
        <v/>
      </c>
      <c r="J40">
        <f>MIN((E40*INPUTS!B16)+(F40*INPUTS!B17)+(G40*INPUTS!B18)+(H40*INPUTS!B19)+(I40*INPUTS!B20),1.5)</f>
        <v/>
      </c>
      <c r="K40">
        <f>IF(J40&lt;0.6,0.3,IF(J40&lt;0.8,0.6,IF(J40&lt;1,1,IF(J40&lt;1.2,1.5,2))))</f>
        <v/>
      </c>
      <c r="M40">
        <f>IF((D40*INPUTS!B10*K40*L40)&lt;=25000,(D40*INPUTS!B10*K40*L40),IF((D40*INPUTS!B10*K40*L40)&lt;=40000,25000+(((D40*INPUTS!B10*K40*L40)-25000)*0.85),IF((D40*INPUTS!B10*K40*L40)&lt;=75000,37750+(((D40*INPUTS!B10*K40*L40)-40000)*0.70),62250+(((D40*INPUTS!B10*K40*L40)-75000)*0.50))))</f>
        <v/>
      </c>
      <c r="N40">
        <f>MAX(IF(E40&lt;0.8,(C40*0.8)-D40,IF(E40&lt;1,(C40*1)-D40,IF(E40&lt;1.2,(C40*1.2)-D40,IF(E40&lt;1.4,(C40*1.4)-D40,(C40*1.5)-D40)))),0)</f>
        <v/>
      </c>
      <c r="O40">
        <f>IF(E40&lt;0.8,"Increase Sales Volume",IF(F40&lt;0.6,"Activate More Branches",IF(G40&lt;0.5,"Push Focus Products","Strong Performance")))</f>
        <v/>
      </c>
    </row>
    <row r="41">
      <c r="E41">
        <f>D41/C41</f>
        <v/>
      </c>
      <c r="J41">
        <f>MIN((E41*INPUTS!B16)+(F41*INPUTS!B17)+(G41*INPUTS!B18)+(H41*INPUTS!B19)+(I41*INPUTS!B20),1.5)</f>
        <v/>
      </c>
      <c r="K41">
        <f>IF(J41&lt;0.6,0.3,IF(J41&lt;0.8,0.6,IF(J41&lt;1,1,IF(J41&lt;1.2,1.5,2))))</f>
        <v/>
      </c>
      <c r="M41">
        <f>IF((D41*INPUTS!B10*K41*L41)&lt;=25000,(D41*INPUTS!B10*K41*L41),IF((D41*INPUTS!B10*K41*L41)&lt;=40000,25000+(((D41*INPUTS!B10*K41*L41)-25000)*0.85),IF((D41*INPUTS!B10*K41*L41)&lt;=75000,37750+(((D41*INPUTS!B10*K41*L41)-40000)*0.70),62250+(((D41*INPUTS!B10*K41*L41)-75000)*0.50))))</f>
        <v/>
      </c>
      <c r="N41">
        <f>MAX(IF(E41&lt;0.8,(C41*0.8)-D41,IF(E41&lt;1,(C41*1)-D41,IF(E41&lt;1.2,(C41*1.2)-D41,IF(E41&lt;1.4,(C41*1.4)-D41,(C41*1.5)-D41)))),0)</f>
        <v/>
      </c>
      <c r="O41">
        <f>IF(E41&lt;0.8,"Increase Sales Volume",IF(F41&lt;0.6,"Activate More Branches",IF(G41&lt;0.5,"Push Focus Products","Strong Performance")))</f>
        <v/>
      </c>
    </row>
    <row r="42">
      <c r="E42">
        <f>D42/C42</f>
        <v/>
      </c>
      <c r="J42">
        <f>MIN((E42*INPUTS!B16)+(F42*INPUTS!B17)+(G42*INPUTS!B18)+(H42*INPUTS!B19)+(I42*INPUTS!B20),1.5)</f>
        <v/>
      </c>
      <c r="K42">
        <f>IF(J42&lt;0.6,0.3,IF(J42&lt;0.8,0.6,IF(J42&lt;1,1,IF(J42&lt;1.2,1.5,2))))</f>
        <v/>
      </c>
      <c r="M42">
        <f>IF((D42*INPUTS!B10*K42*L42)&lt;=25000,(D42*INPUTS!B10*K42*L42),IF((D42*INPUTS!B10*K42*L42)&lt;=40000,25000+(((D42*INPUTS!B10*K42*L42)-25000)*0.85),IF((D42*INPUTS!B10*K42*L42)&lt;=75000,37750+(((D42*INPUTS!B10*K42*L42)-40000)*0.70),62250+(((D42*INPUTS!B10*K42*L42)-75000)*0.50))))</f>
        <v/>
      </c>
      <c r="N42">
        <f>MAX(IF(E42&lt;0.8,(C42*0.8)-D42,IF(E42&lt;1,(C42*1)-D42,IF(E42&lt;1.2,(C42*1.2)-D42,IF(E42&lt;1.4,(C42*1.4)-D42,(C42*1.5)-D42)))),0)</f>
        <v/>
      </c>
      <c r="O42">
        <f>IF(E42&lt;0.8,"Increase Sales Volume",IF(F42&lt;0.6,"Activate More Branches",IF(G42&lt;0.5,"Push Focus Products","Strong Performance")))</f>
        <v/>
      </c>
    </row>
    <row r="43">
      <c r="E43">
        <f>D43/C43</f>
        <v/>
      </c>
      <c r="J43">
        <f>MIN((E43*INPUTS!B16)+(F43*INPUTS!B17)+(G43*INPUTS!B18)+(H43*INPUTS!B19)+(I43*INPUTS!B20),1.5)</f>
        <v/>
      </c>
      <c r="K43">
        <f>IF(J43&lt;0.6,0.3,IF(J43&lt;0.8,0.6,IF(J43&lt;1,1,IF(J43&lt;1.2,1.5,2))))</f>
        <v/>
      </c>
      <c r="M43">
        <f>IF((D43*INPUTS!B10*K43*L43)&lt;=25000,(D43*INPUTS!B10*K43*L43),IF((D43*INPUTS!B10*K43*L43)&lt;=40000,25000+(((D43*INPUTS!B10*K43*L43)-25000)*0.85),IF((D43*INPUTS!B10*K43*L43)&lt;=75000,37750+(((D43*INPUTS!B10*K43*L43)-40000)*0.70),62250+(((D43*INPUTS!B10*K43*L43)-75000)*0.50))))</f>
        <v/>
      </c>
      <c r="N43">
        <f>MAX(IF(E43&lt;0.8,(C43*0.8)-D43,IF(E43&lt;1,(C43*1)-D43,IF(E43&lt;1.2,(C43*1.2)-D43,IF(E43&lt;1.4,(C43*1.4)-D43,(C43*1.5)-D43)))),0)</f>
        <v/>
      </c>
      <c r="O43">
        <f>IF(E43&lt;0.8,"Increase Sales Volume",IF(F43&lt;0.6,"Activate More Branches",IF(G43&lt;0.5,"Push Focus Products","Strong Performance")))</f>
        <v/>
      </c>
    </row>
    <row r="44">
      <c r="E44">
        <f>D44/C44</f>
        <v/>
      </c>
      <c r="J44">
        <f>MIN((E44*INPUTS!B16)+(F44*INPUTS!B17)+(G44*INPUTS!B18)+(H44*INPUTS!B19)+(I44*INPUTS!B20),1.5)</f>
        <v/>
      </c>
      <c r="K44">
        <f>IF(J44&lt;0.6,0.3,IF(J44&lt;0.8,0.6,IF(J44&lt;1,1,IF(J44&lt;1.2,1.5,2))))</f>
        <v/>
      </c>
      <c r="M44">
        <f>IF((D44*INPUTS!B10*K44*L44)&lt;=25000,(D44*INPUTS!B10*K44*L44),IF((D44*INPUTS!B10*K44*L44)&lt;=40000,25000+(((D44*INPUTS!B10*K44*L44)-25000)*0.85),IF((D44*INPUTS!B10*K44*L44)&lt;=75000,37750+(((D44*INPUTS!B10*K44*L44)-40000)*0.70),62250+(((D44*INPUTS!B10*K44*L44)-75000)*0.50))))</f>
        <v/>
      </c>
      <c r="N44">
        <f>MAX(IF(E44&lt;0.8,(C44*0.8)-D44,IF(E44&lt;1,(C44*1)-D44,IF(E44&lt;1.2,(C44*1.2)-D44,IF(E44&lt;1.4,(C44*1.4)-D44,(C44*1.5)-D44)))),0)</f>
        <v/>
      </c>
      <c r="O44">
        <f>IF(E44&lt;0.8,"Increase Sales Volume",IF(F44&lt;0.6,"Activate More Branches",IF(G44&lt;0.5,"Push Focus Products","Strong Performance")))</f>
        <v/>
      </c>
    </row>
    <row r="45">
      <c r="E45">
        <f>D45/C45</f>
        <v/>
      </c>
      <c r="J45">
        <f>MIN((E45*INPUTS!B16)+(F45*INPUTS!B17)+(G45*INPUTS!B18)+(H45*INPUTS!B19)+(I45*INPUTS!B20),1.5)</f>
        <v/>
      </c>
      <c r="K45">
        <f>IF(J45&lt;0.6,0.3,IF(J45&lt;0.8,0.6,IF(J45&lt;1,1,IF(J45&lt;1.2,1.5,2))))</f>
        <v/>
      </c>
      <c r="M45">
        <f>IF((D45*INPUTS!B10*K45*L45)&lt;=25000,(D45*INPUTS!B10*K45*L45),IF((D45*INPUTS!B10*K45*L45)&lt;=40000,25000+(((D45*INPUTS!B10*K45*L45)-25000)*0.85),IF((D45*INPUTS!B10*K45*L45)&lt;=75000,37750+(((D45*INPUTS!B10*K45*L45)-40000)*0.70),62250+(((D45*INPUTS!B10*K45*L45)-75000)*0.50))))</f>
        <v/>
      </c>
      <c r="N45">
        <f>MAX(IF(E45&lt;0.8,(C45*0.8)-D45,IF(E45&lt;1,(C45*1)-D45,IF(E45&lt;1.2,(C45*1.2)-D45,IF(E45&lt;1.4,(C45*1.4)-D45,(C45*1.5)-D45)))),0)</f>
        <v/>
      </c>
      <c r="O45">
        <f>IF(E45&lt;0.8,"Increase Sales Volume",IF(F45&lt;0.6,"Activate More Branches",IF(G45&lt;0.5,"Push Focus Products","Strong Performance")))</f>
        <v/>
      </c>
    </row>
    <row r="46">
      <c r="E46">
        <f>D46/C46</f>
        <v/>
      </c>
      <c r="J46">
        <f>MIN((E46*INPUTS!B16)+(F46*INPUTS!B17)+(G46*INPUTS!B18)+(H46*INPUTS!B19)+(I46*INPUTS!B20),1.5)</f>
        <v/>
      </c>
      <c r="K46">
        <f>IF(J46&lt;0.6,0.3,IF(J46&lt;0.8,0.6,IF(J46&lt;1,1,IF(J46&lt;1.2,1.5,2))))</f>
        <v/>
      </c>
      <c r="M46">
        <f>IF((D46*INPUTS!B10*K46*L46)&lt;=25000,(D46*INPUTS!B10*K46*L46),IF((D46*INPUTS!B10*K46*L46)&lt;=40000,25000+(((D46*INPUTS!B10*K46*L46)-25000)*0.85),IF((D46*INPUTS!B10*K46*L46)&lt;=75000,37750+(((D46*INPUTS!B10*K46*L46)-40000)*0.70),62250+(((D46*INPUTS!B10*K46*L46)-75000)*0.50))))</f>
        <v/>
      </c>
      <c r="N46">
        <f>MAX(IF(E46&lt;0.8,(C46*0.8)-D46,IF(E46&lt;1,(C46*1)-D46,IF(E46&lt;1.2,(C46*1.2)-D46,IF(E46&lt;1.4,(C46*1.4)-D46,(C46*1.5)-D46)))),0)</f>
        <v/>
      </c>
      <c r="O46">
        <f>IF(E46&lt;0.8,"Increase Sales Volume",IF(F46&lt;0.6,"Activate More Branches",IF(G46&lt;0.5,"Push Focus Products","Strong Performance")))</f>
        <v/>
      </c>
    </row>
    <row r="47">
      <c r="E47">
        <f>D47/C47</f>
        <v/>
      </c>
      <c r="J47">
        <f>MIN((E47*INPUTS!B16)+(F47*INPUTS!B17)+(G47*INPUTS!B18)+(H47*INPUTS!B19)+(I47*INPUTS!B20),1.5)</f>
        <v/>
      </c>
      <c r="K47">
        <f>IF(J47&lt;0.6,0.3,IF(J47&lt;0.8,0.6,IF(J47&lt;1,1,IF(J47&lt;1.2,1.5,2))))</f>
        <v/>
      </c>
      <c r="M47">
        <f>IF((D47*INPUTS!B10*K47*L47)&lt;=25000,(D47*INPUTS!B10*K47*L47),IF((D47*INPUTS!B10*K47*L47)&lt;=40000,25000+(((D47*INPUTS!B10*K47*L47)-25000)*0.85),IF((D47*INPUTS!B10*K47*L47)&lt;=75000,37750+(((D47*INPUTS!B10*K47*L47)-40000)*0.70),62250+(((D47*INPUTS!B10*K47*L47)-75000)*0.50))))</f>
        <v/>
      </c>
      <c r="N47">
        <f>MAX(IF(E47&lt;0.8,(C47*0.8)-D47,IF(E47&lt;1,(C47*1)-D47,IF(E47&lt;1.2,(C47*1.2)-D47,IF(E47&lt;1.4,(C47*1.4)-D47,(C47*1.5)-D47)))),0)</f>
        <v/>
      </c>
      <c r="O47">
        <f>IF(E47&lt;0.8,"Increase Sales Volume",IF(F47&lt;0.6,"Activate More Branches",IF(G47&lt;0.5,"Push Focus Products","Strong Performance")))</f>
        <v/>
      </c>
    </row>
    <row r="48">
      <c r="E48">
        <f>D48/C48</f>
        <v/>
      </c>
      <c r="J48">
        <f>MIN((E48*INPUTS!B16)+(F48*INPUTS!B17)+(G48*INPUTS!B18)+(H48*INPUTS!B19)+(I48*INPUTS!B20),1.5)</f>
        <v/>
      </c>
      <c r="K48">
        <f>IF(J48&lt;0.6,0.3,IF(J48&lt;0.8,0.6,IF(J48&lt;1,1,IF(J48&lt;1.2,1.5,2))))</f>
        <v/>
      </c>
      <c r="M48">
        <f>IF((D48*INPUTS!B10*K48*L48)&lt;=25000,(D48*INPUTS!B10*K48*L48),IF((D48*INPUTS!B10*K48*L48)&lt;=40000,25000+(((D48*INPUTS!B10*K48*L48)-25000)*0.85),IF((D48*INPUTS!B10*K48*L48)&lt;=75000,37750+(((D48*INPUTS!B10*K48*L48)-40000)*0.70),62250+(((D48*INPUTS!B10*K48*L48)-75000)*0.50))))</f>
        <v/>
      </c>
      <c r="N48">
        <f>MAX(IF(E48&lt;0.8,(C48*0.8)-D48,IF(E48&lt;1,(C48*1)-D48,IF(E48&lt;1.2,(C48*1.2)-D48,IF(E48&lt;1.4,(C48*1.4)-D48,(C48*1.5)-D48)))),0)</f>
        <v/>
      </c>
      <c r="O48">
        <f>IF(E48&lt;0.8,"Increase Sales Volume",IF(F48&lt;0.6,"Activate More Branches",IF(G48&lt;0.5,"Push Focus Products","Strong Performance")))</f>
        <v/>
      </c>
    </row>
    <row r="49">
      <c r="E49">
        <f>D49/C49</f>
        <v/>
      </c>
      <c r="J49">
        <f>MIN((E49*INPUTS!B16)+(F49*INPUTS!B17)+(G49*INPUTS!B18)+(H49*INPUTS!B19)+(I49*INPUTS!B20),1.5)</f>
        <v/>
      </c>
      <c r="K49">
        <f>IF(J49&lt;0.6,0.3,IF(J49&lt;0.8,0.6,IF(J49&lt;1,1,IF(J49&lt;1.2,1.5,2))))</f>
        <v/>
      </c>
      <c r="M49">
        <f>IF((D49*INPUTS!B10*K49*L49)&lt;=25000,(D49*INPUTS!B10*K49*L49),IF((D49*INPUTS!B10*K49*L49)&lt;=40000,25000+(((D49*INPUTS!B10*K49*L49)-25000)*0.85),IF((D49*INPUTS!B10*K49*L49)&lt;=75000,37750+(((D49*INPUTS!B10*K49*L49)-40000)*0.70),62250+(((D49*INPUTS!B10*K49*L49)-75000)*0.50))))</f>
        <v/>
      </c>
      <c r="N49">
        <f>MAX(IF(E49&lt;0.8,(C49*0.8)-D49,IF(E49&lt;1,(C49*1)-D49,IF(E49&lt;1.2,(C49*1.2)-D49,IF(E49&lt;1.4,(C49*1.4)-D49,(C49*1.5)-D49)))),0)</f>
        <v/>
      </c>
      <c r="O49">
        <f>IF(E49&lt;0.8,"Increase Sales Volume",IF(F49&lt;0.6,"Activate More Branches",IF(G49&lt;0.5,"Push Focus Products","Strong Performance")))</f>
        <v/>
      </c>
    </row>
    <row r="50">
      <c r="E50">
        <f>D50/C50</f>
        <v/>
      </c>
      <c r="J50">
        <f>MIN((E50*INPUTS!B16)+(F50*INPUTS!B17)+(G50*INPUTS!B18)+(H50*INPUTS!B19)+(I50*INPUTS!B20),1.5)</f>
        <v/>
      </c>
      <c r="K50">
        <f>IF(J50&lt;0.6,0.3,IF(J50&lt;0.8,0.6,IF(J50&lt;1,1,IF(J50&lt;1.2,1.5,2))))</f>
        <v/>
      </c>
      <c r="M50">
        <f>IF((D50*INPUTS!B10*K50*L50)&lt;=25000,(D50*INPUTS!B10*K50*L50),IF((D50*INPUTS!B10*K50*L50)&lt;=40000,25000+(((D50*INPUTS!B10*K50*L50)-25000)*0.85),IF((D50*INPUTS!B10*K50*L50)&lt;=75000,37750+(((D50*INPUTS!B10*K50*L50)-40000)*0.70),62250+(((D50*INPUTS!B10*K50*L50)-75000)*0.50))))</f>
        <v/>
      </c>
      <c r="N50">
        <f>MAX(IF(E50&lt;0.8,(C50*0.8)-D50,IF(E50&lt;1,(C50*1)-D50,IF(E50&lt;1.2,(C50*1.2)-D50,IF(E50&lt;1.4,(C50*1.4)-D50,(C50*1.5)-D50)))),0)</f>
        <v/>
      </c>
      <c r="O50">
        <f>IF(E50&lt;0.8,"Increase Sales Volume",IF(F50&lt;0.6,"Activate More Branches",IF(G50&lt;0.5,"Push Focus Products","Strong Performance")))</f>
        <v/>
      </c>
    </row>
    <row r="51">
      <c r="E51">
        <f>D51/C51</f>
        <v/>
      </c>
      <c r="J51">
        <f>MIN((E51*INPUTS!B16)+(F51*INPUTS!B17)+(G51*INPUTS!B18)+(H51*INPUTS!B19)+(I51*INPUTS!B20),1.5)</f>
        <v/>
      </c>
      <c r="K51">
        <f>IF(J51&lt;0.6,0.3,IF(J51&lt;0.8,0.6,IF(J51&lt;1,1,IF(J51&lt;1.2,1.5,2))))</f>
        <v/>
      </c>
      <c r="M51">
        <f>IF((D51*INPUTS!B10*K51*L51)&lt;=25000,(D51*INPUTS!B10*K51*L51),IF((D51*INPUTS!B10*K51*L51)&lt;=40000,25000+(((D51*INPUTS!B10*K51*L51)-25000)*0.85),IF((D51*INPUTS!B10*K51*L51)&lt;=75000,37750+(((D51*INPUTS!B10*K51*L51)-40000)*0.70),62250+(((D51*INPUTS!B10*K51*L51)-75000)*0.50))))</f>
        <v/>
      </c>
      <c r="N51">
        <f>MAX(IF(E51&lt;0.8,(C51*0.8)-D51,IF(E51&lt;1,(C51*1)-D51,IF(E51&lt;1.2,(C51*1.2)-D51,IF(E51&lt;1.4,(C51*1.4)-D51,(C51*1.5)-D51)))),0)</f>
        <v/>
      </c>
      <c r="O51">
        <f>IF(E51&lt;0.8,"Increase Sales Volume",IF(F51&lt;0.6,"Activate More Branches",IF(G51&lt;0.5,"Push Focus Products","Strong Performance")))</f>
        <v/>
      </c>
    </row>
    <row r="52">
      <c r="E52">
        <f>D52/C52</f>
        <v/>
      </c>
      <c r="J52">
        <f>MIN((E52*INPUTS!B16)+(F52*INPUTS!B17)+(G52*INPUTS!B18)+(H52*INPUTS!B19)+(I52*INPUTS!B20),1.5)</f>
        <v/>
      </c>
      <c r="K52">
        <f>IF(J52&lt;0.6,0.3,IF(J52&lt;0.8,0.6,IF(J52&lt;1,1,IF(J52&lt;1.2,1.5,2))))</f>
        <v/>
      </c>
      <c r="M52">
        <f>IF((D52*INPUTS!B10*K52*L52)&lt;=25000,(D52*INPUTS!B10*K52*L52),IF((D52*INPUTS!B10*K52*L52)&lt;=40000,25000+(((D52*INPUTS!B10*K52*L52)-25000)*0.85),IF((D52*INPUTS!B10*K52*L52)&lt;=75000,37750+(((D52*INPUTS!B10*K52*L52)-40000)*0.70),62250+(((D52*INPUTS!B10*K52*L52)-75000)*0.50))))</f>
        <v/>
      </c>
      <c r="N52">
        <f>MAX(IF(E52&lt;0.8,(C52*0.8)-D52,IF(E52&lt;1,(C52*1)-D52,IF(E52&lt;1.2,(C52*1.2)-D52,IF(E52&lt;1.4,(C52*1.4)-D52,(C52*1.5)-D52)))),0)</f>
        <v/>
      </c>
      <c r="O52">
        <f>IF(E52&lt;0.8,"Increase Sales Volume",IF(F52&lt;0.6,"Activate More Branches",IF(G52&lt;0.5,"Push Focus Products","Strong Performance")))</f>
        <v/>
      </c>
    </row>
    <row r="53">
      <c r="E53">
        <f>D53/C53</f>
        <v/>
      </c>
      <c r="J53">
        <f>MIN((E53*INPUTS!B16)+(F53*INPUTS!B17)+(G53*INPUTS!B18)+(H53*INPUTS!B19)+(I53*INPUTS!B20),1.5)</f>
        <v/>
      </c>
      <c r="K53">
        <f>IF(J53&lt;0.6,0.3,IF(J53&lt;0.8,0.6,IF(J53&lt;1,1,IF(J53&lt;1.2,1.5,2))))</f>
        <v/>
      </c>
      <c r="M53">
        <f>IF((D53*INPUTS!B10*K53*L53)&lt;=25000,(D53*INPUTS!B10*K53*L53),IF((D53*INPUTS!B10*K53*L53)&lt;=40000,25000+(((D53*INPUTS!B10*K53*L53)-25000)*0.85),IF((D53*INPUTS!B10*K53*L53)&lt;=75000,37750+(((D53*INPUTS!B10*K53*L53)-40000)*0.70),62250+(((D53*INPUTS!B10*K53*L53)-75000)*0.50))))</f>
        <v/>
      </c>
      <c r="N53">
        <f>MAX(IF(E53&lt;0.8,(C53*0.8)-D53,IF(E53&lt;1,(C53*1)-D53,IF(E53&lt;1.2,(C53*1.2)-D53,IF(E53&lt;1.4,(C53*1.4)-D53,(C53*1.5)-D53)))),0)</f>
        <v/>
      </c>
      <c r="O53">
        <f>IF(E53&lt;0.8,"Increase Sales Volume",IF(F53&lt;0.6,"Activate More Branches",IF(G53&lt;0.5,"Push Focus Products","Strong Performance")))</f>
        <v/>
      </c>
    </row>
    <row r="54">
      <c r="E54">
        <f>D54/C54</f>
        <v/>
      </c>
      <c r="J54">
        <f>MIN((E54*INPUTS!B16)+(F54*INPUTS!B17)+(G54*INPUTS!B18)+(H54*INPUTS!B19)+(I54*INPUTS!B20),1.5)</f>
        <v/>
      </c>
      <c r="K54">
        <f>IF(J54&lt;0.6,0.3,IF(J54&lt;0.8,0.6,IF(J54&lt;1,1,IF(J54&lt;1.2,1.5,2))))</f>
        <v/>
      </c>
      <c r="M54">
        <f>IF((D54*INPUTS!B10*K54*L54)&lt;=25000,(D54*INPUTS!B10*K54*L54),IF((D54*INPUTS!B10*K54*L54)&lt;=40000,25000+(((D54*INPUTS!B10*K54*L54)-25000)*0.85),IF((D54*INPUTS!B10*K54*L54)&lt;=75000,37750+(((D54*INPUTS!B10*K54*L54)-40000)*0.70),62250+(((D54*INPUTS!B10*K54*L54)-75000)*0.50))))</f>
        <v/>
      </c>
      <c r="N54">
        <f>MAX(IF(E54&lt;0.8,(C54*0.8)-D54,IF(E54&lt;1,(C54*1)-D54,IF(E54&lt;1.2,(C54*1.2)-D54,IF(E54&lt;1.4,(C54*1.4)-D54,(C54*1.5)-D54)))),0)</f>
        <v/>
      </c>
      <c r="O54">
        <f>IF(E54&lt;0.8,"Increase Sales Volume",IF(F54&lt;0.6,"Activate More Branches",IF(G54&lt;0.5,"Push Focus Products","Strong Performance")))</f>
        <v/>
      </c>
    </row>
    <row r="55">
      <c r="E55">
        <f>D55/C55</f>
        <v/>
      </c>
      <c r="J55">
        <f>MIN((E55*INPUTS!B16)+(F55*INPUTS!B17)+(G55*INPUTS!B18)+(H55*INPUTS!B19)+(I55*INPUTS!B20),1.5)</f>
        <v/>
      </c>
      <c r="K55">
        <f>IF(J55&lt;0.6,0.3,IF(J55&lt;0.8,0.6,IF(J55&lt;1,1,IF(J55&lt;1.2,1.5,2))))</f>
        <v/>
      </c>
      <c r="M55">
        <f>IF((D55*INPUTS!B10*K55*L55)&lt;=25000,(D55*INPUTS!B10*K55*L55),IF((D55*INPUTS!B10*K55*L55)&lt;=40000,25000+(((D55*INPUTS!B10*K55*L55)-25000)*0.85),IF((D55*INPUTS!B10*K55*L55)&lt;=75000,37750+(((D55*INPUTS!B10*K55*L55)-40000)*0.70),62250+(((D55*INPUTS!B10*K55*L55)-75000)*0.50))))</f>
        <v/>
      </c>
      <c r="N55">
        <f>MAX(IF(E55&lt;0.8,(C55*0.8)-D55,IF(E55&lt;1,(C55*1)-D55,IF(E55&lt;1.2,(C55*1.2)-D55,IF(E55&lt;1.4,(C55*1.4)-D55,(C55*1.5)-D55)))),0)</f>
        <v/>
      </c>
      <c r="O55">
        <f>IF(E55&lt;0.8,"Increase Sales Volume",IF(F55&lt;0.6,"Activate More Branches",IF(G55&lt;0.5,"Push Focus Products","Strong Performance")))</f>
        <v/>
      </c>
    </row>
    <row r="56">
      <c r="E56">
        <f>D56/C56</f>
        <v/>
      </c>
      <c r="J56">
        <f>MIN((E56*INPUTS!B16)+(F56*INPUTS!B17)+(G56*INPUTS!B18)+(H56*INPUTS!B19)+(I56*INPUTS!B20),1.5)</f>
        <v/>
      </c>
      <c r="K56">
        <f>IF(J56&lt;0.6,0.3,IF(J56&lt;0.8,0.6,IF(J56&lt;1,1,IF(J56&lt;1.2,1.5,2))))</f>
        <v/>
      </c>
      <c r="M56">
        <f>IF((D56*INPUTS!B10*K56*L56)&lt;=25000,(D56*INPUTS!B10*K56*L56),IF((D56*INPUTS!B10*K56*L56)&lt;=40000,25000+(((D56*INPUTS!B10*K56*L56)-25000)*0.85),IF((D56*INPUTS!B10*K56*L56)&lt;=75000,37750+(((D56*INPUTS!B10*K56*L56)-40000)*0.70),62250+(((D56*INPUTS!B10*K56*L56)-75000)*0.50))))</f>
        <v/>
      </c>
      <c r="N56">
        <f>MAX(IF(E56&lt;0.8,(C56*0.8)-D56,IF(E56&lt;1,(C56*1)-D56,IF(E56&lt;1.2,(C56*1.2)-D56,IF(E56&lt;1.4,(C56*1.4)-D56,(C56*1.5)-D56)))),0)</f>
        <v/>
      </c>
      <c r="O56">
        <f>IF(E56&lt;0.8,"Increase Sales Volume",IF(F56&lt;0.6,"Activate More Branches",IF(G56&lt;0.5,"Push Focus Products","Strong Performance")))</f>
        <v/>
      </c>
    </row>
    <row r="57">
      <c r="E57">
        <f>D57/C57</f>
        <v/>
      </c>
      <c r="J57">
        <f>MIN((E57*INPUTS!B16)+(F57*INPUTS!B17)+(G57*INPUTS!B18)+(H57*INPUTS!B19)+(I57*INPUTS!B20),1.5)</f>
        <v/>
      </c>
      <c r="K57">
        <f>IF(J57&lt;0.6,0.3,IF(J57&lt;0.8,0.6,IF(J57&lt;1,1,IF(J57&lt;1.2,1.5,2))))</f>
        <v/>
      </c>
      <c r="M57">
        <f>IF((D57*INPUTS!B10*K57*L57)&lt;=25000,(D57*INPUTS!B10*K57*L57),IF((D57*INPUTS!B10*K57*L57)&lt;=40000,25000+(((D57*INPUTS!B10*K57*L57)-25000)*0.85),IF((D57*INPUTS!B10*K57*L57)&lt;=75000,37750+(((D57*INPUTS!B10*K57*L57)-40000)*0.70),62250+(((D57*INPUTS!B10*K57*L57)-75000)*0.50))))</f>
        <v/>
      </c>
      <c r="N57">
        <f>MAX(IF(E57&lt;0.8,(C57*0.8)-D57,IF(E57&lt;1,(C57*1)-D57,IF(E57&lt;1.2,(C57*1.2)-D57,IF(E57&lt;1.4,(C57*1.4)-D57,(C57*1.5)-D57)))),0)</f>
        <v/>
      </c>
      <c r="O57">
        <f>IF(E57&lt;0.8,"Increase Sales Volume",IF(F57&lt;0.6,"Activate More Branches",IF(G57&lt;0.5,"Push Focus Products","Strong Performance")))</f>
        <v/>
      </c>
    </row>
    <row r="58">
      <c r="E58">
        <f>D58/C58</f>
        <v/>
      </c>
      <c r="J58">
        <f>MIN((E58*INPUTS!B16)+(F58*INPUTS!B17)+(G58*INPUTS!B18)+(H58*INPUTS!B19)+(I58*INPUTS!B20),1.5)</f>
        <v/>
      </c>
      <c r="K58">
        <f>IF(J58&lt;0.6,0.3,IF(J58&lt;0.8,0.6,IF(J58&lt;1,1,IF(J58&lt;1.2,1.5,2))))</f>
        <v/>
      </c>
      <c r="M58">
        <f>IF((D58*INPUTS!B10*K58*L58)&lt;=25000,(D58*INPUTS!B10*K58*L58),IF((D58*INPUTS!B10*K58*L58)&lt;=40000,25000+(((D58*INPUTS!B10*K58*L58)-25000)*0.85),IF((D58*INPUTS!B10*K58*L58)&lt;=75000,37750+(((D58*INPUTS!B10*K58*L58)-40000)*0.70),62250+(((D58*INPUTS!B10*K58*L58)-75000)*0.50))))</f>
        <v/>
      </c>
      <c r="N58">
        <f>MAX(IF(E58&lt;0.8,(C58*0.8)-D58,IF(E58&lt;1,(C58*1)-D58,IF(E58&lt;1.2,(C58*1.2)-D58,IF(E58&lt;1.4,(C58*1.4)-D58,(C58*1.5)-D58)))),0)</f>
        <v/>
      </c>
      <c r="O58">
        <f>IF(E58&lt;0.8,"Increase Sales Volume",IF(F58&lt;0.6,"Activate More Branches",IF(G58&lt;0.5,"Push Focus Products","Strong Performance")))</f>
        <v/>
      </c>
    </row>
    <row r="59">
      <c r="E59">
        <f>D59/C59</f>
        <v/>
      </c>
      <c r="J59">
        <f>MIN((E59*INPUTS!B16)+(F59*INPUTS!B17)+(G59*INPUTS!B18)+(H59*INPUTS!B19)+(I59*INPUTS!B20),1.5)</f>
        <v/>
      </c>
      <c r="K59">
        <f>IF(J59&lt;0.6,0.3,IF(J59&lt;0.8,0.6,IF(J59&lt;1,1,IF(J59&lt;1.2,1.5,2))))</f>
        <v/>
      </c>
      <c r="M59">
        <f>IF((D59*INPUTS!B10*K59*L59)&lt;=25000,(D59*INPUTS!B10*K59*L59),IF((D59*INPUTS!B10*K59*L59)&lt;=40000,25000+(((D59*INPUTS!B10*K59*L59)-25000)*0.85),IF((D59*INPUTS!B10*K59*L59)&lt;=75000,37750+(((D59*INPUTS!B10*K59*L59)-40000)*0.70),62250+(((D59*INPUTS!B10*K59*L59)-75000)*0.50))))</f>
        <v/>
      </c>
      <c r="N59">
        <f>MAX(IF(E59&lt;0.8,(C59*0.8)-D59,IF(E59&lt;1,(C59*1)-D59,IF(E59&lt;1.2,(C59*1.2)-D59,IF(E59&lt;1.4,(C59*1.4)-D59,(C59*1.5)-D59)))),0)</f>
        <v/>
      </c>
      <c r="O59">
        <f>IF(E59&lt;0.8,"Increase Sales Volume",IF(F59&lt;0.6,"Activate More Branches",IF(G59&lt;0.5,"Push Focus Products","Strong Performance")))</f>
        <v/>
      </c>
    </row>
    <row r="60">
      <c r="E60">
        <f>D60/C60</f>
        <v/>
      </c>
      <c r="J60">
        <f>MIN((E60*INPUTS!B16)+(F60*INPUTS!B17)+(G60*INPUTS!B18)+(H60*INPUTS!B19)+(I60*INPUTS!B20),1.5)</f>
        <v/>
      </c>
      <c r="K60">
        <f>IF(J60&lt;0.6,0.3,IF(J60&lt;0.8,0.6,IF(J60&lt;1,1,IF(J60&lt;1.2,1.5,2))))</f>
        <v/>
      </c>
      <c r="M60">
        <f>IF((D60*INPUTS!B10*K60*L60)&lt;=25000,(D60*INPUTS!B10*K60*L60),IF((D60*INPUTS!B10*K60*L60)&lt;=40000,25000+(((D60*INPUTS!B10*K60*L60)-25000)*0.85),IF((D60*INPUTS!B10*K60*L60)&lt;=75000,37750+(((D60*INPUTS!B10*K60*L60)-40000)*0.70),62250+(((D60*INPUTS!B10*K60*L60)-75000)*0.50))))</f>
        <v/>
      </c>
      <c r="N60">
        <f>MAX(IF(E60&lt;0.8,(C60*0.8)-D60,IF(E60&lt;1,(C60*1)-D60,IF(E60&lt;1.2,(C60*1.2)-D60,IF(E60&lt;1.4,(C60*1.4)-D60,(C60*1.5)-D60)))),0)</f>
        <v/>
      </c>
      <c r="O60">
        <f>IF(E60&lt;0.8,"Increase Sales Volume",IF(F60&lt;0.6,"Activate More Branches",IF(G60&lt;0.5,"Push Focus Products","Strong Performance")))</f>
        <v/>
      </c>
    </row>
    <row r="61">
      <c r="E61">
        <f>D61/C61</f>
        <v/>
      </c>
      <c r="J61">
        <f>MIN((E61*INPUTS!B16)+(F61*INPUTS!B17)+(G61*INPUTS!B18)+(H61*INPUTS!B19)+(I61*INPUTS!B20),1.5)</f>
        <v/>
      </c>
      <c r="K61">
        <f>IF(J61&lt;0.6,0.3,IF(J61&lt;0.8,0.6,IF(J61&lt;1,1,IF(J61&lt;1.2,1.5,2))))</f>
        <v/>
      </c>
      <c r="M61">
        <f>IF((D61*INPUTS!B10*K61*L61)&lt;=25000,(D61*INPUTS!B10*K61*L61),IF((D61*INPUTS!B10*K61*L61)&lt;=40000,25000+(((D61*INPUTS!B10*K61*L61)-25000)*0.85),IF((D61*INPUTS!B10*K61*L61)&lt;=75000,37750+(((D61*INPUTS!B10*K61*L61)-40000)*0.70),62250+(((D61*INPUTS!B10*K61*L61)-75000)*0.50))))</f>
        <v/>
      </c>
      <c r="N61">
        <f>MAX(IF(E61&lt;0.8,(C61*0.8)-D61,IF(E61&lt;1,(C61*1)-D61,IF(E61&lt;1.2,(C61*1.2)-D61,IF(E61&lt;1.4,(C61*1.4)-D61,(C61*1.5)-D61)))),0)</f>
        <v/>
      </c>
      <c r="O61">
        <f>IF(E61&lt;0.8,"Increase Sales Volume",IF(F61&lt;0.6,"Activate More Branches",IF(G61&lt;0.5,"Push Focus Products","Strong Performance")))</f>
        <v/>
      </c>
    </row>
    <row r="62">
      <c r="E62">
        <f>D62/C62</f>
        <v/>
      </c>
      <c r="J62">
        <f>MIN((E62*INPUTS!B16)+(F62*INPUTS!B17)+(G62*INPUTS!B18)+(H62*INPUTS!B19)+(I62*INPUTS!B20),1.5)</f>
        <v/>
      </c>
      <c r="K62">
        <f>IF(J62&lt;0.6,0.3,IF(J62&lt;0.8,0.6,IF(J62&lt;1,1,IF(J62&lt;1.2,1.5,2))))</f>
        <v/>
      </c>
      <c r="M62">
        <f>IF((D62*INPUTS!B10*K62*L62)&lt;=25000,(D62*INPUTS!B10*K62*L62),IF((D62*INPUTS!B10*K62*L62)&lt;=40000,25000+(((D62*INPUTS!B10*K62*L62)-25000)*0.85),IF((D62*INPUTS!B10*K62*L62)&lt;=75000,37750+(((D62*INPUTS!B10*K62*L62)-40000)*0.70),62250+(((D62*INPUTS!B10*K62*L62)-75000)*0.50))))</f>
        <v/>
      </c>
      <c r="N62">
        <f>MAX(IF(E62&lt;0.8,(C62*0.8)-D62,IF(E62&lt;1,(C62*1)-D62,IF(E62&lt;1.2,(C62*1.2)-D62,IF(E62&lt;1.4,(C62*1.4)-D62,(C62*1.5)-D62)))),0)</f>
        <v/>
      </c>
      <c r="O62">
        <f>IF(E62&lt;0.8,"Increase Sales Volume",IF(F62&lt;0.6,"Activate More Branches",IF(G62&lt;0.5,"Push Focus Products","Strong Performance")))</f>
        <v/>
      </c>
    </row>
    <row r="63">
      <c r="E63">
        <f>D63/C63</f>
        <v/>
      </c>
      <c r="J63">
        <f>MIN((E63*INPUTS!B16)+(F63*INPUTS!B17)+(G63*INPUTS!B18)+(H63*INPUTS!B19)+(I63*INPUTS!B20),1.5)</f>
        <v/>
      </c>
      <c r="K63">
        <f>IF(J63&lt;0.6,0.3,IF(J63&lt;0.8,0.6,IF(J63&lt;1,1,IF(J63&lt;1.2,1.5,2))))</f>
        <v/>
      </c>
      <c r="M63">
        <f>IF((D63*INPUTS!B10*K63*L63)&lt;=25000,(D63*INPUTS!B10*K63*L63),IF((D63*INPUTS!B10*K63*L63)&lt;=40000,25000+(((D63*INPUTS!B10*K63*L63)-25000)*0.85),IF((D63*INPUTS!B10*K63*L63)&lt;=75000,37750+(((D63*INPUTS!B10*K63*L63)-40000)*0.70),62250+(((D63*INPUTS!B10*K63*L63)-75000)*0.50))))</f>
        <v/>
      </c>
      <c r="N63">
        <f>MAX(IF(E63&lt;0.8,(C63*0.8)-D63,IF(E63&lt;1,(C63*1)-D63,IF(E63&lt;1.2,(C63*1.2)-D63,IF(E63&lt;1.4,(C63*1.4)-D63,(C63*1.5)-D63)))),0)</f>
        <v/>
      </c>
      <c r="O63">
        <f>IF(E63&lt;0.8,"Increase Sales Volume",IF(F63&lt;0.6,"Activate More Branches",IF(G63&lt;0.5,"Push Focus Products","Strong Performance")))</f>
        <v/>
      </c>
    </row>
    <row r="64">
      <c r="E64">
        <f>D64/C64</f>
        <v/>
      </c>
      <c r="J64">
        <f>MIN((E64*INPUTS!B16)+(F64*INPUTS!B17)+(G64*INPUTS!B18)+(H64*INPUTS!B19)+(I64*INPUTS!B20),1.5)</f>
        <v/>
      </c>
      <c r="K64">
        <f>IF(J64&lt;0.6,0.3,IF(J64&lt;0.8,0.6,IF(J64&lt;1,1,IF(J64&lt;1.2,1.5,2))))</f>
        <v/>
      </c>
      <c r="M64">
        <f>IF((D64*INPUTS!B10*K64*L64)&lt;=25000,(D64*INPUTS!B10*K64*L64),IF((D64*INPUTS!B10*K64*L64)&lt;=40000,25000+(((D64*INPUTS!B10*K64*L64)-25000)*0.85),IF((D64*INPUTS!B10*K64*L64)&lt;=75000,37750+(((D64*INPUTS!B10*K64*L64)-40000)*0.70),62250+(((D64*INPUTS!B10*K64*L64)-75000)*0.50))))</f>
        <v/>
      </c>
      <c r="N64">
        <f>MAX(IF(E64&lt;0.8,(C64*0.8)-D64,IF(E64&lt;1,(C64*1)-D64,IF(E64&lt;1.2,(C64*1.2)-D64,IF(E64&lt;1.4,(C64*1.4)-D64,(C64*1.5)-D64)))),0)</f>
        <v/>
      </c>
      <c r="O64">
        <f>IF(E64&lt;0.8,"Increase Sales Volume",IF(F64&lt;0.6,"Activate More Branches",IF(G64&lt;0.5,"Push Focus Products","Strong Performance")))</f>
        <v/>
      </c>
    </row>
    <row r="65">
      <c r="E65">
        <f>D65/C65</f>
        <v/>
      </c>
      <c r="J65">
        <f>MIN((E65*INPUTS!B16)+(F65*INPUTS!B17)+(G65*INPUTS!B18)+(H65*INPUTS!B19)+(I65*INPUTS!B20),1.5)</f>
        <v/>
      </c>
      <c r="K65">
        <f>IF(J65&lt;0.6,0.3,IF(J65&lt;0.8,0.6,IF(J65&lt;1,1,IF(J65&lt;1.2,1.5,2))))</f>
        <v/>
      </c>
      <c r="M65">
        <f>IF((D65*INPUTS!B10*K65*L65)&lt;=25000,(D65*INPUTS!B10*K65*L65),IF((D65*INPUTS!B10*K65*L65)&lt;=40000,25000+(((D65*INPUTS!B10*K65*L65)-25000)*0.85),IF((D65*INPUTS!B10*K65*L65)&lt;=75000,37750+(((D65*INPUTS!B10*K65*L65)-40000)*0.70),62250+(((D65*INPUTS!B10*K65*L65)-75000)*0.50))))</f>
        <v/>
      </c>
      <c r="N65">
        <f>MAX(IF(E65&lt;0.8,(C65*0.8)-D65,IF(E65&lt;1,(C65*1)-D65,IF(E65&lt;1.2,(C65*1.2)-D65,IF(E65&lt;1.4,(C65*1.4)-D65,(C65*1.5)-D65)))),0)</f>
        <v/>
      </c>
      <c r="O65">
        <f>IF(E65&lt;0.8,"Increase Sales Volume",IF(F65&lt;0.6,"Activate More Branches",IF(G65&lt;0.5,"Push Focus Products","Strong Performance")))</f>
        <v/>
      </c>
    </row>
    <row r="66">
      <c r="E66">
        <f>D66/C66</f>
        <v/>
      </c>
      <c r="J66">
        <f>MIN((E66*INPUTS!B16)+(F66*INPUTS!B17)+(G66*INPUTS!B18)+(H66*INPUTS!B19)+(I66*INPUTS!B20),1.5)</f>
        <v/>
      </c>
      <c r="K66">
        <f>IF(J66&lt;0.6,0.3,IF(J66&lt;0.8,0.6,IF(J66&lt;1,1,IF(J66&lt;1.2,1.5,2))))</f>
        <v/>
      </c>
      <c r="M66">
        <f>IF((D66*INPUTS!B10*K66*L66)&lt;=25000,(D66*INPUTS!B10*K66*L66),IF((D66*INPUTS!B10*K66*L66)&lt;=40000,25000+(((D66*INPUTS!B10*K66*L66)-25000)*0.85),IF((D66*INPUTS!B10*K66*L66)&lt;=75000,37750+(((D66*INPUTS!B10*K66*L66)-40000)*0.70),62250+(((D66*INPUTS!B10*K66*L66)-75000)*0.50))))</f>
        <v/>
      </c>
      <c r="N66">
        <f>MAX(IF(E66&lt;0.8,(C66*0.8)-D66,IF(E66&lt;1,(C66*1)-D66,IF(E66&lt;1.2,(C66*1.2)-D66,IF(E66&lt;1.4,(C66*1.4)-D66,(C66*1.5)-D66)))),0)</f>
        <v/>
      </c>
      <c r="O66">
        <f>IF(E66&lt;0.8,"Increase Sales Volume",IF(F66&lt;0.6,"Activate More Branches",IF(G66&lt;0.5,"Push Focus Products","Strong Performance")))</f>
        <v/>
      </c>
    </row>
    <row r="67">
      <c r="E67">
        <f>D67/C67</f>
        <v/>
      </c>
      <c r="J67">
        <f>MIN((E67*INPUTS!B16)+(F67*INPUTS!B17)+(G67*INPUTS!B18)+(H67*INPUTS!B19)+(I67*INPUTS!B20),1.5)</f>
        <v/>
      </c>
      <c r="K67">
        <f>IF(J67&lt;0.6,0.3,IF(J67&lt;0.8,0.6,IF(J67&lt;1,1,IF(J67&lt;1.2,1.5,2))))</f>
        <v/>
      </c>
      <c r="M67">
        <f>IF((D67*INPUTS!B10*K67*L67)&lt;=25000,(D67*INPUTS!B10*K67*L67),IF((D67*INPUTS!B10*K67*L67)&lt;=40000,25000+(((D67*INPUTS!B10*K67*L67)-25000)*0.85),IF((D67*INPUTS!B10*K67*L67)&lt;=75000,37750+(((D67*INPUTS!B10*K67*L67)-40000)*0.70),62250+(((D67*INPUTS!B10*K67*L67)-75000)*0.50))))</f>
        <v/>
      </c>
      <c r="N67">
        <f>MAX(IF(E67&lt;0.8,(C67*0.8)-D67,IF(E67&lt;1,(C67*1)-D67,IF(E67&lt;1.2,(C67*1.2)-D67,IF(E67&lt;1.4,(C67*1.4)-D67,(C67*1.5)-D67)))),0)</f>
        <v/>
      </c>
      <c r="O67">
        <f>IF(E67&lt;0.8,"Increase Sales Volume",IF(F67&lt;0.6,"Activate More Branches",IF(G67&lt;0.5,"Push Focus Products","Strong Performance")))</f>
        <v/>
      </c>
    </row>
    <row r="68">
      <c r="E68">
        <f>D68/C68</f>
        <v/>
      </c>
      <c r="J68">
        <f>MIN((E68*INPUTS!B16)+(F68*INPUTS!B17)+(G68*INPUTS!B18)+(H68*INPUTS!B19)+(I68*INPUTS!B20),1.5)</f>
        <v/>
      </c>
      <c r="K68">
        <f>IF(J68&lt;0.6,0.3,IF(J68&lt;0.8,0.6,IF(J68&lt;1,1,IF(J68&lt;1.2,1.5,2))))</f>
        <v/>
      </c>
      <c r="M68">
        <f>IF((D68*INPUTS!B10*K68*L68)&lt;=25000,(D68*INPUTS!B10*K68*L68),IF((D68*INPUTS!B10*K68*L68)&lt;=40000,25000+(((D68*INPUTS!B10*K68*L68)-25000)*0.85),IF((D68*INPUTS!B10*K68*L68)&lt;=75000,37750+(((D68*INPUTS!B10*K68*L68)-40000)*0.70),62250+(((D68*INPUTS!B10*K68*L68)-75000)*0.50))))</f>
        <v/>
      </c>
      <c r="N68">
        <f>MAX(IF(E68&lt;0.8,(C68*0.8)-D68,IF(E68&lt;1,(C68*1)-D68,IF(E68&lt;1.2,(C68*1.2)-D68,IF(E68&lt;1.4,(C68*1.4)-D68,(C68*1.5)-D68)))),0)</f>
        <v/>
      </c>
      <c r="O68">
        <f>IF(E68&lt;0.8,"Increase Sales Volume",IF(F68&lt;0.6,"Activate More Branches",IF(G68&lt;0.5,"Push Focus Products","Strong Performance")))</f>
        <v/>
      </c>
    </row>
    <row r="69">
      <c r="E69">
        <f>D69/C69</f>
        <v/>
      </c>
      <c r="J69">
        <f>MIN((E69*INPUTS!B16)+(F69*INPUTS!B17)+(G69*INPUTS!B18)+(H69*INPUTS!B19)+(I69*INPUTS!B20),1.5)</f>
        <v/>
      </c>
      <c r="K69">
        <f>IF(J69&lt;0.6,0.3,IF(J69&lt;0.8,0.6,IF(J69&lt;1,1,IF(J69&lt;1.2,1.5,2))))</f>
        <v/>
      </c>
      <c r="M69">
        <f>IF((D69*INPUTS!B10*K69*L69)&lt;=25000,(D69*INPUTS!B10*K69*L69),IF((D69*INPUTS!B10*K69*L69)&lt;=40000,25000+(((D69*INPUTS!B10*K69*L69)-25000)*0.85),IF((D69*INPUTS!B10*K69*L69)&lt;=75000,37750+(((D69*INPUTS!B10*K69*L69)-40000)*0.70),62250+(((D69*INPUTS!B10*K69*L69)-75000)*0.50))))</f>
        <v/>
      </c>
      <c r="N69">
        <f>MAX(IF(E69&lt;0.8,(C69*0.8)-D69,IF(E69&lt;1,(C69*1)-D69,IF(E69&lt;1.2,(C69*1.2)-D69,IF(E69&lt;1.4,(C69*1.4)-D69,(C69*1.5)-D69)))),0)</f>
        <v/>
      </c>
      <c r="O69">
        <f>IF(E69&lt;0.8,"Increase Sales Volume",IF(F69&lt;0.6,"Activate More Branches",IF(G69&lt;0.5,"Push Focus Products","Strong Performance")))</f>
        <v/>
      </c>
    </row>
    <row r="70">
      <c r="E70">
        <f>D70/C70</f>
        <v/>
      </c>
      <c r="J70">
        <f>MIN((E70*INPUTS!B16)+(F70*INPUTS!B17)+(G70*INPUTS!B18)+(H70*INPUTS!B19)+(I70*INPUTS!B20),1.5)</f>
        <v/>
      </c>
      <c r="K70">
        <f>IF(J70&lt;0.6,0.3,IF(J70&lt;0.8,0.6,IF(J70&lt;1,1,IF(J70&lt;1.2,1.5,2))))</f>
        <v/>
      </c>
      <c r="M70">
        <f>IF((D70*INPUTS!B10*K70*L70)&lt;=25000,(D70*INPUTS!B10*K70*L70),IF((D70*INPUTS!B10*K70*L70)&lt;=40000,25000+(((D70*INPUTS!B10*K70*L70)-25000)*0.85),IF((D70*INPUTS!B10*K70*L70)&lt;=75000,37750+(((D70*INPUTS!B10*K70*L70)-40000)*0.70),62250+(((D70*INPUTS!B10*K70*L70)-75000)*0.50))))</f>
        <v/>
      </c>
      <c r="N70">
        <f>MAX(IF(E70&lt;0.8,(C70*0.8)-D70,IF(E70&lt;1,(C70*1)-D70,IF(E70&lt;1.2,(C70*1.2)-D70,IF(E70&lt;1.4,(C70*1.4)-D70,(C70*1.5)-D70)))),0)</f>
        <v/>
      </c>
      <c r="O70">
        <f>IF(E70&lt;0.8,"Increase Sales Volume",IF(F70&lt;0.6,"Activate More Branches",IF(G70&lt;0.5,"Push Focus Products","Strong Performance")))</f>
        <v/>
      </c>
    </row>
    <row r="71">
      <c r="E71">
        <f>D71/C71</f>
        <v/>
      </c>
      <c r="J71">
        <f>MIN((E71*INPUTS!B16)+(F71*INPUTS!B17)+(G71*INPUTS!B18)+(H71*INPUTS!B19)+(I71*INPUTS!B20),1.5)</f>
        <v/>
      </c>
      <c r="K71">
        <f>IF(J71&lt;0.6,0.3,IF(J71&lt;0.8,0.6,IF(J71&lt;1,1,IF(J71&lt;1.2,1.5,2))))</f>
        <v/>
      </c>
      <c r="M71">
        <f>IF((D71*INPUTS!B10*K71*L71)&lt;=25000,(D71*INPUTS!B10*K71*L71),IF((D71*INPUTS!B10*K71*L71)&lt;=40000,25000+(((D71*INPUTS!B10*K71*L71)-25000)*0.85),IF((D71*INPUTS!B10*K71*L71)&lt;=75000,37750+(((D71*INPUTS!B10*K71*L71)-40000)*0.70),62250+(((D71*INPUTS!B10*K71*L71)-75000)*0.50))))</f>
        <v/>
      </c>
      <c r="N71">
        <f>MAX(IF(E71&lt;0.8,(C71*0.8)-D71,IF(E71&lt;1,(C71*1)-D71,IF(E71&lt;1.2,(C71*1.2)-D71,IF(E71&lt;1.4,(C71*1.4)-D71,(C71*1.5)-D71)))),0)</f>
        <v/>
      </c>
      <c r="O71">
        <f>IF(E71&lt;0.8,"Increase Sales Volume",IF(F71&lt;0.6,"Activate More Branches",IF(G71&lt;0.5,"Push Focus Products","Strong Performance")))</f>
        <v/>
      </c>
    </row>
    <row r="72">
      <c r="E72">
        <f>D72/C72</f>
        <v/>
      </c>
      <c r="J72">
        <f>MIN((E72*INPUTS!B16)+(F72*INPUTS!B17)+(G72*INPUTS!B18)+(H72*INPUTS!B19)+(I72*INPUTS!B20),1.5)</f>
        <v/>
      </c>
      <c r="K72">
        <f>IF(J72&lt;0.6,0.3,IF(J72&lt;0.8,0.6,IF(J72&lt;1,1,IF(J72&lt;1.2,1.5,2))))</f>
        <v/>
      </c>
      <c r="M72">
        <f>IF((D72*INPUTS!B10*K72*L72)&lt;=25000,(D72*INPUTS!B10*K72*L72),IF((D72*INPUTS!B10*K72*L72)&lt;=40000,25000+(((D72*INPUTS!B10*K72*L72)-25000)*0.85),IF((D72*INPUTS!B10*K72*L72)&lt;=75000,37750+(((D72*INPUTS!B10*K72*L72)-40000)*0.70),62250+(((D72*INPUTS!B10*K72*L72)-75000)*0.50))))</f>
        <v/>
      </c>
      <c r="N72">
        <f>MAX(IF(E72&lt;0.8,(C72*0.8)-D72,IF(E72&lt;1,(C72*1)-D72,IF(E72&lt;1.2,(C72*1.2)-D72,IF(E72&lt;1.4,(C72*1.4)-D72,(C72*1.5)-D72)))),0)</f>
        <v/>
      </c>
      <c r="O72">
        <f>IF(E72&lt;0.8,"Increase Sales Volume",IF(F72&lt;0.6,"Activate More Branches",IF(G72&lt;0.5,"Push Focus Products","Strong Performance")))</f>
        <v/>
      </c>
    </row>
    <row r="73">
      <c r="E73">
        <f>D73/C73</f>
        <v/>
      </c>
      <c r="J73">
        <f>MIN((E73*INPUTS!B16)+(F73*INPUTS!B17)+(G73*INPUTS!B18)+(H73*INPUTS!B19)+(I73*INPUTS!B20),1.5)</f>
        <v/>
      </c>
      <c r="K73">
        <f>IF(J73&lt;0.6,0.3,IF(J73&lt;0.8,0.6,IF(J73&lt;1,1,IF(J73&lt;1.2,1.5,2))))</f>
        <v/>
      </c>
      <c r="M73">
        <f>IF((D73*INPUTS!B10*K73*L73)&lt;=25000,(D73*INPUTS!B10*K73*L73),IF((D73*INPUTS!B10*K73*L73)&lt;=40000,25000+(((D73*INPUTS!B10*K73*L73)-25000)*0.85),IF((D73*INPUTS!B10*K73*L73)&lt;=75000,37750+(((D73*INPUTS!B10*K73*L73)-40000)*0.70),62250+(((D73*INPUTS!B10*K73*L73)-75000)*0.50))))</f>
        <v/>
      </c>
      <c r="N73">
        <f>MAX(IF(E73&lt;0.8,(C73*0.8)-D73,IF(E73&lt;1,(C73*1)-D73,IF(E73&lt;1.2,(C73*1.2)-D73,IF(E73&lt;1.4,(C73*1.4)-D73,(C73*1.5)-D73)))),0)</f>
        <v/>
      </c>
      <c r="O73">
        <f>IF(E73&lt;0.8,"Increase Sales Volume",IF(F73&lt;0.6,"Activate More Branches",IF(G73&lt;0.5,"Push Focus Products","Strong Performance")))</f>
        <v/>
      </c>
    </row>
    <row r="74">
      <c r="E74">
        <f>D74/C74</f>
        <v/>
      </c>
      <c r="J74">
        <f>MIN((E74*INPUTS!B16)+(F74*INPUTS!B17)+(G74*INPUTS!B18)+(H74*INPUTS!B19)+(I74*INPUTS!B20),1.5)</f>
        <v/>
      </c>
      <c r="K74">
        <f>IF(J74&lt;0.6,0.3,IF(J74&lt;0.8,0.6,IF(J74&lt;1,1,IF(J74&lt;1.2,1.5,2))))</f>
        <v/>
      </c>
      <c r="M74">
        <f>IF((D74*INPUTS!B10*K74*L74)&lt;=25000,(D74*INPUTS!B10*K74*L74),IF((D74*INPUTS!B10*K74*L74)&lt;=40000,25000+(((D74*INPUTS!B10*K74*L74)-25000)*0.85),IF((D74*INPUTS!B10*K74*L74)&lt;=75000,37750+(((D74*INPUTS!B10*K74*L74)-40000)*0.70),62250+(((D74*INPUTS!B10*K74*L74)-75000)*0.50))))</f>
        <v/>
      </c>
      <c r="N74">
        <f>MAX(IF(E74&lt;0.8,(C74*0.8)-D74,IF(E74&lt;1,(C74*1)-D74,IF(E74&lt;1.2,(C74*1.2)-D74,IF(E74&lt;1.4,(C74*1.4)-D74,(C74*1.5)-D74)))),0)</f>
        <v/>
      </c>
      <c r="O74">
        <f>IF(E74&lt;0.8,"Increase Sales Volume",IF(F74&lt;0.6,"Activate More Branches",IF(G74&lt;0.5,"Push Focus Products","Strong Performance")))</f>
        <v/>
      </c>
    </row>
    <row r="75">
      <c r="E75">
        <f>D75/C75</f>
        <v/>
      </c>
      <c r="J75">
        <f>MIN((E75*INPUTS!B16)+(F75*INPUTS!B17)+(G75*INPUTS!B18)+(H75*INPUTS!B19)+(I75*INPUTS!B20),1.5)</f>
        <v/>
      </c>
      <c r="K75">
        <f>IF(J75&lt;0.6,0.3,IF(J75&lt;0.8,0.6,IF(J75&lt;1,1,IF(J75&lt;1.2,1.5,2))))</f>
        <v/>
      </c>
      <c r="M75">
        <f>IF((D75*INPUTS!B10*K75*L75)&lt;=25000,(D75*INPUTS!B10*K75*L75),IF((D75*INPUTS!B10*K75*L75)&lt;=40000,25000+(((D75*INPUTS!B10*K75*L75)-25000)*0.85),IF((D75*INPUTS!B10*K75*L75)&lt;=75000,37750+(((D75*INPUTS!B10*K75*L75)-40000)*0.70),62250+(((D75*INPUTS!B10*K75*L75)-75000)*0.50))))</f>
        <v/>
      </c>
      <c r="N75">
        <f>MAX(IF(E75&lt;0.8,(C75*0.8)-D75,IF(E75&lt;1,(C75*1)-D75,IF(E75&lt;1.2,(C75*1.2)-D75,IF(E75&lt;1.4,(C75*1.4)-D75,(C75*1.5)-D75)))),0)</f>
        <v/>
      </c>
      <c r="O75">
        <f>IF(E75&lt;0.8,"Increase Sales Volume",IF(F75&lt;0.6,"Activate More Branches",IF(G75&lt;0.5,"Push Focus Products","Strong Performance")))</f>
        <v/>
      </c>
    </row>
    <row r="76">
      <c r="E76">
        <f>D76/C76</f>
        <v/>
      </c>
      <c r="J76">
        <f>MIN((E76*INPUTS!B16)+(F76*INPUTS!B17)+(G76*INPUTS!B18)+(H76*INPUTS!B19)+(I76*INPUTS!B20),1.5)</f>
        <v/>
      </c>
      <c r="K76">
        <f>IF(J76&lt;0.6,0.3,IF(J76&lt;0.8,0.6,IF(J76&lt;1,1,IF(J76&lt;1.2,1.5,2))))</f>
        <v/>
      </c>
      <c r="M76">
        <f>IF((D76*INPUTS!B10*K76*L76)&lt;=25000,(D76*INPUTS!B10*K76*L76),IF((D76*INPUTS!B10*K76*L76)&lt;=40000,25000+(((D76*INPUTS!B10*K76*L76)-25000)*0.85),IF((D76*INPUTS!B10*K76*L76)&lt;=75000,37750+(((D76*INPUTS!B10*K76*L76)-40000)*0.70),62250+(((D76*INPUTS!B10*K76*L76)-75000)*0.50))))</f>
        <v/>
      </c>
      <c r="N76">
        <f>MAX(IF(E76&lt;0.8,(C76*0.8)-D76,IF(E76&lt;1,(C76*1)-D76,IF(E76&lt;1.2,(C76*1.2)-D76,IF(E76&lt;1.4,(C76*1.4)-D76,(C76*1.5)-D76)))),0)</f>
        <v/>
      </c>
      <c r="O76">
        <f>IF(E76&lt;0.8,"Increase Sales Volume",IF(F76&lt;0.6,"Activate More Branches",IF(G76&lt;0.5,"Push Focus Products","Strong Performance")))</f>
        <v/>
      </c>
    </row>
    <row r="77">
      <c r="E77">
        <f>D77/C77</f>
        <v/>
      </c>
      <c r="J77">
        <f>MIN((E77*INPUTS!B16)+(F77*INPUTS!B17)+(G77*INPUTS!B18)+(H77*INPUTS!B19)+(I77*INPUTS!B20),1.5)</f>
        <v/>
      </c>
      <c r="K77">
        <f>IF(J77&lt;0.6,0.3,IF(J77&lt;0.8,0.6,IF(J77&lt;1,1,IF(J77&lt;1.2,1.5,2))))</f>
        <v/>
      </c>
      <c r="M77">
        <f>IF((D77*INPUTS!B10*K77*L77)&lt;=25000,(D77*INPUTS!B10*K77*L77),IF((D77*INPUTS!B10*K77*L77)&lt;=40000,25000+(((D77*INPUTS!B10*K77*L77)-25000)*0.85),IF((D77*INPUTS!B10*K77*L77)&lt;=75000,37750+(((D77*INPUTS!B10*K77*L77)-40000)*0.70),62250+(((D77*INPUTS!B10*K77*L77)-75000)*0.50))))</f>
        <v/>
      </c>
      <c r="N77">
        <f>MAX(IF(E77&lt;0.8,(C77*0.8)-D77,IF(E77&lt;1,(C77*1)-D77,IF(E77&lt;1.2,(C77*1.2)-D77,IF(E77&lt;1.4,(C77*1.4)-D77,(C77*1.5)-D77)))),0)</f>
        <v/>
      </c>
      <c r="O77">
        <f>IF(E77&lt;0.8,"Increase Sales Volume",IF(F77&lt;0.6,"Activate More Branches",IF(G77&lt;0.5,"Push Focus Products","Strong Performance")))</f>
        <v/>
      </c>
    </row>
    <row r="78">
      <c r="E78">
        <f>D78/C78</f>
        <v/>
      </c>
      <c r="J78">
        <f>MIN((E78*INPUTS!B16)+(F78*INPUTS!B17)+(G78*INPUTS!B18)+(H78*INPUTS!B19)+(I78*INPUTS!B20),1.5)</f>
        <v/>
      </c>
      <c r="K78">
        <f>IF(J78&lt;0.6,0.3,IF(J78&lt;0.8,0.6,IF(J78&lt;1,1,IF(J78&lt;1.2,1.5,2))))</f>
        <v/>
      </c>
      <c r="M78">
        <f>IF((D78*INPUTS!B10*K78*L78)&lt;=25000,(D78*INPUTS!B10*K78*L78),IF((D78*INPUTS!B10*K78*L78)&lt;=40000,25000+(((D78*INPUTS!B10*K78*L78)-25000)*0.85),IF((D78*INPUTS!B10*K78*L78)&lt;=75000,37750+(((D78*INPUTS!B10*K78*L78)-40000)*0.70),62250+(((D78*INPUTS!B10*K78*L78)-75000)*0.50))))</f>
        <v/>
      </c>
      <c r="N78">
        <f>MAX(IF(E78&lt;0.8,(C78*0.8)-D78,IF(E78&lt;1,(C78*1)-D78,IF(E78&lt;1.2,(C78*1.2)-D78,IF(E78&lt;1.4,(C78*1.4)-D78,(C78*1.5)-D78)))),0)</f>
        <v/>
      </c>
      <c r="O78">
        <f>IF(E78&lt;0.8,"Increase Sales Volume",IF(F78&lt;0.6,"Activate More Branches",IF(G78&lt;0.5,"Push Focus Products","Strong Performance")))</f>
        <v/>
      </c>
    </row>
    <row r="79">
      <c r="E79">
        <f>D79/C79</f>
        <v/>
      </c>
      <c r="J79">
        <f>MIN((E79*INPUTS!B16)+(F79*INPUTS!B17)+(G79*INPUTS!B18)+(H79*INPUTS!B19)+(I79*INPUTS!B20),1.5)</f>
        <v/>
      </c>
      <c r="K79">
        <f>IF(J79&lt;0.6,0.3,IF(J79&lt;0.8,0.6,IF(J79&lt;1,1,IF(J79&lt;1.2,1.5,2))))</f>
        <v/>
      </c>
      <c r="M79">
        <f>IF((D79*INPUTS!B10*K79*L79)&lt;=25000,(D79*INPUTS!B10*K79*L79),IF((D79*INPUTS!B10*K79*L79)&lt;=40000,25000+(((D79*INPUTS!B10*K79*L79)-25000)*0.85),IF((D79*INPUTS!B10*K79*L79)&lt;=75000,37750+(((D79*INPUTS!B10*K79*L79)-40000)*0.70),62250+(((D79*INPUTS!B10*K79*L79)-75000)*0.50))))</f>
        <v/>
      </c>
      <c r="N79">
        <f>MAX(IF(E79&lt;0.8,(C79*0.8)-D79,IF(E79&lt;1,(C79*1)-D79,IF(E79&lt;1.2,(C79*1.2)-D79,IF(E79&lt;1.4,(C79*1.4)-D79,(C79*1.5)-D79)))),0)</f>
        <v/>
      </c>
      <c r="O79">
        <f>IF(E79&lt;0.8,"Increase Sales Volume",IF(F79&lt;0.6,"Activate More Branches",IF(G79&lt;0.5,"Push Focus Products","Strong Performance")))</f>
        <v/>
      </c>
    </row>
    <row r="80">
      <c r="E80">
        <f>D80/C80</f>
        <v/>
      </c>
      <c r="J80">
        <f>MIN((E80*INPUTS!B16)+(F80*INPUTS!B17)+(G80*INPUTS!B18)+(H80*INPUTS!B19)+(I80*INPUTS!B20),1.5)</f>
        <v/>
      </c>
      <c r="K80">
        <f>IF(J80&lt;0.6,0.3,IF(J80&lt;0.8,0.6,IF(J80&lt;1,1,IF(J80&lt;1.2,1.5,2))))</f>
        <v/>
      </c>
      <c r="M80">
        <f>IF((D80*INPUTS!B10*K80*L80)&lt;=25000,(D80*INPUTS!B10*K80*L80),IF((D80*INPUTS!B10*K80*L80)&lt;=40000,25000+(((D80*INPUTS!B10*K80*L80)-25000)*0.85),IF((D80*INPUTS!B10*K80*L80)&lt;=75000,37750+(((D80*INPUTS!B10*K80*L80)-40000)*0.70),62250+(((D80*INPUTS!B10*K80*L80)-75000)*0.50))))</f>
        <v/>
      </c>
      <c r="N80">
        <f>MAX(IF(E80&lt;0.8,(C80*0.8)-D80,IF(E80&lt;1,(C80*1)-D80,IF(E80&lt;1.2,(C80*1.2)-D80,IF(E80&lt;1.4,(C80*1.4)-D80,(C80*1.5)-D80)))),0)</f>
        <v/>
      </c>
      <c r="O80">
        <f>IF(E80&lt;0.8,"Increase Sales Volume",IF(F80&lt;0.6,"Activate More Branches",IF(G80&lt;0.5,"Push Focus Products","Strong Performance")))</f>
        <v/>
      </c>
    </row>
    <row r="81">
      <c r="E81">
        <f>D81/C81</f>
        <v/>
      </c>
      <c r="J81">
        <f>MIN((E81*INPUTS!B16)+(F81*INPUTS!B17)+(G81*INPUTS!B18)+(H81*INPUTS!B19)+(I81*INPUTS!B20),1.5)</f>
        <v/>
      </c>
      <c r="K81">
        <f>IF(J81&lt;0.6,0.3,IF(J81&lt;0.8,0.6,IF(J81&lt;1,1,IF(J81&lt;1.2,1.5,2))))</f>
        <v/>
      </c>
      <c r="M81">
        <f>IF((D81*INPUTS!B10*K81*L81)&lt;=25000,(D81*INPUTS!B10*K81*L81),IF((D81*INPUTS!B10*K81*L81)&lt;=40000,25000+(((D81*INPUTS!B10*K81*L81)-25000)*0.85),IF((D81*INPUTS!B10*K81*L81)&lt;=75000,37750+(((D81*INPUTS!B10*K81*L81)-40000)*0.70),62250+(((D81*INPUTS!B10*K81*L81)-75000)*0.50))))</f>
        <v/>
      </c>
      <c r="N81">
        <f>MAX(IF(E81&lt;0.8,(C81*0.8)-D81,IF(E81&lt;1,(C81*1)-D81,IF(E81&lt;1.2,(C81*1.2)-D81,IF(E81&lt;1.4,(C81*1.4)-D81,(C81*1.5)-D81)))),0)</f>
        <v/>
      </c>
      <c r="O81">
        <f>IF(E81&lt;0.8,"Increase Sales Volume",IF(F81&lt;0.6,"Activate More Branches",IF(G81&lt;0.5,"Push Focus Products","Strong Performance")))</f>
        <v/>
      </c>
    </row>
    <row r="82">
      <c r="E82">
        <f>D82/C82</f>
        <v/>
      </c>
      <c r="J82">
        <f>MIN((E82*INPUTS!B16)+(F82*INPUTS!B17)+(G82*INPUTS!B18)+(H82*INPUTS!B19)+(I82*INPUTS!B20),1.5)</f>
        <v/>
      </c>
      <c r="K82">
        <f>IF(J82&lt;0.6,0.3,IF(J82&lt;0.8,0.6,IF(J82&lt;1,1,IF(J82&lt;1.2,1.5,2))))</f>
        <v/>
      </c>
      <c r="M82">
        <f>IF((D82*INPUTS!B10*K82*L82)&lt;=25000,(D82*INPUTS!B10*K82*L82),IF((D82*INPUTS!B10*K82*L82)&lt;=40000,25000+(((D82*INPUTS!B10*K82*L82)-25000)*0.85),IF((D82*INPUTS!B10*K82*L82)&lt;=75000,37750+(((D82*INPUTS!B10*K82*L82)-40000)*0.70),62250+(((D82*INPUTS!B10*K82*L82)-75000)*0.50))))</f>
        <v/>
      </c>
      <c r="N82">
        <f>MAX(IF(E82&lt;0.8,(C82*0.8)-D82,IF(E82&lt;1,(C82*1)-D82,IF(E82&lt;1.2,(C82*1.2)-D82,IF(E82&lt;1.4,(C82*1.4)-D82,(C82*1.5)-D82)))),0)</f>
        <v/>
      </c>
      <c r="O82">
        <f>IF(E82&lt;0.8,"Increase Sales Volume",IF(F82&lt;0.6,"Activate More Branches",IF(G82&lt;0.5,"Push Focus Products","Strong Performance")))</f>
        <v/>
      </c>
    </row>
    <row r="83">
      <c r="E83">
        <f>D83/C83</f>
        <v/>
      </c>
      <c r="J83">
        <f>MIN((E83*INPUTS!B16)+(F83*INPUTS!B17)+(G83*INPUTS!B18)+(H83*INPUTS!B19)+(I83*INPUTS!B20),1.5)</f>
        <v/>
      </c>
      <c r="K83">
        <f>IF(J83&lt;0.6,0.3,IF(J83&lt;0.8,0.6,IF(J83&lt;1,1,IF(J83&lt;1.2,1.5,2))))</f>
        <v/>
      </c>
      <c r="M83">
        <f>IF((D83*INPUTS!B10*K83*L83)&lt;=25000,(D83*INPUTS!B10*K83*L83),IF((D83*INPUTS!B10*K83*L83)&lt;=40000,25000+(((D83*INPUTS!B10*K83*L83)-25000)*0.85),IF((D83*INPUTS!B10*K83*L83)&lt;=75000,37750+(((D83*INPUTS!B10*K83*L83)-40000)*0.70),62250+(((D83*INPUTS!B10*K83*L83)-75000)*0.50))))</f>
        <v/>
      </c>
      <c r="N83">
        <f>MAX(IF(E83&lt;0.8,(C83*0.8)-D83,IF(E83&lt;1,(C83*1)-D83,IF(E83&lt;1.2,(C83*1.2)-D83,IF(E83&lt;1.4,(C83*1.4)-D83,(C83*1.5)-D83)))),0)</f>
        <v/>
      </c>
      <c r="O83">
        <f>IF(E83&lt;0.8,"Increase Sales Volume",IF(F83&lt;0.6,"Activate More Branches",IF(G83&lt;0.5,"Push Focus Products","Strong Performance")))</f>
        <v/>
      </c>
    </row>
    <row r="84">
      <c r="E84">
        <f>D84/C84</f>
        <v/>
      </c>
      <c r="J84">
        <f>MIN((E84*INPUTS!B16)+(F84*INPUTS!B17)+(G84*INPUTS!B18)+(H84*INPUTS!B19)+(I84*INPUTS!B20),1.5)</f>
        <v/>
      </c>
      <c r="K84">
        <f>IF(J84&lt;0.6,0.3,IF(J84&lt;0.8,0.6,IF(J84&lt;1,1,IF(J84&lt;1.2,1.5,2))))</f>
        <v/>
      </c>
      <c r="M84">
        <f>IF((D84*INPUTS!B10*K84*L84)&lt;=25000,(D84*INPUTS!B10*K84*L84),IF((D84*INPUTS!B10*K84*L84)&lt;=40000,25000+(((D84*INPUTS!B10*K84*L84)-25000)*0.85),IF((D84*INPUTS!B10*K84*L84)&lt;=75000,37750+(((D84*INPUTS!B10*K84*L84)-40000)*0.70),62250+(((D84*INPUTS!B10*K84*L84)-75000)*0.50))))</f>
        <v/>
      </c>
      <c r="N84">
        <f>MAX(IF(E84&lt;0.8,(C84*0.8)-D84,IF(E84&lt;1,(C84*1)-D84,IF(E84&lt;1.2,(C84*1.2)-D84,IF(E84&lt;1.4,(C84*1.4)-D84,(C84*1.5)-D84)))),0)</f>
        <v/>
      </c>
      <c r="O84">
        <f>IF(E84&lt;0.8,"Increase Sales Volume",IF(F84&lt;0.6,"Activate More Branches",IF(G84&lt;0.5,"Push Focus Products","Strong Performance")))</f>
        <v/>
      </c>
    </row>
    <row r="85">
      <c r="E85">
        <f>D85/C85</f>
        <v/>
      </c>
      <c r="J85">
        <f>MIN((E85*INPUTS!B16)+(F85*INPUTS!B17)+(G85*INPUTS!B18)+(H85*INPUTS!B19)+(I85*INPUTS!B20),1.5)</f>
        <v/>
      </c>
      <c r="K85">
        <f>IF(J85&lt;0.6,0.3,IF(J85&lt;0.8,0.6,IF(J85&lt;1,1,IF(J85&lt;1.2,1.5,2))))</f>
        <v/>
      </c>
      <c r="M85">
        <f>IF((D85*INPUTS!B10*K85*L85)&lt;=25000,(D85*INPUTS!B10*K85*L85),IF((D85*INPUTS!B10*K85*L85)&lt;=40000,25000+(((D85*INPUTS!B10*K85*L85)-25000)*0.85),IF((D85*INPUTS!B10*K85*L85)&lt;=75000,37750+(((D85*INPUTS!B10*K85*L85)-40000)*0.70),62250+(((D85*INPUTS!B10*K85*L85)-75000)*0.50))))</f>
        <v/>
      </c>
      <c r="N85">
        <f>MAX(IF(E85&lt;0.8,(C85*0.8)-D85,IF(E85&lt;1,(C85*1)-D85,IF(E85&lt;1.2,(C85*1.2)-D85,IF(E85&lt;1.4,(C85*1.4)-D85,(C85*1.5)-D85)))),0)</f>
        <v/>
      </c>
      <c r="O85">
        <f>IF(E85&lt;0.8,"Increase Sales Volume",IF(F85&lt;0.6,"Activate More Branches",IF(G85&lt;0.5,"Push Focus Products","Strong Performance")))</f>
        <v/>
      </c>
    </row>
    <row r="86">
      <c r="E86">
        <f>D86/C86</f>
        <v/>
      </c>
      <c r="J86">
        <f>MIN((E86*INPUTS!B16)+(F86*INPUTS!B17)+(G86*INPUTS!B18)+(H86*INPUTS!B19)+(I86*INPUTS!B20),1.5)</f>
        <v/>
      </c>
      <c r="K86">
        <f>IF(J86&lt;0.6,0.3,IF(J86&lt;0.8,0.6,IF(J86&lt;1,1,IF(J86&lt;1.2,1.5,2))))</f>
        <v/>
      </c>
      <c r="M86">
        <f>IF((D86*INPUTS!B10*K86*L86)&lt;=25000,(D86*INPUTS!B10*K86*L86),IF((D86*INPUTS!B10*K86*L86)&lt;=40000,25000+(((D86*INPUTS!B10*K86*L86)-25000)*0.85),IF((D86*INPUTS!B10*K86*L86)&lt;=75000,37750+(((D86*INPUTS!B10*K86*L86)-40000)*0.70),62250+(((D86*INPUTS!B10*K86*L86)-75000)*0.50))))</f>
        <v/>
      </c>
      <c r="N86">
        <f>MAX(IF(E86&lt;0.8,(C86*0.8)-D86,IF(E86&lt;1,(C86*1)-D86,IF(E86&lt;1.2,(C86*1.2)-D86,IF(E86&lt;1.4,(C86*1.4)-D86,(C86*1.5)-D86)))),0)</f>
        <v/>
      </c>
      <c r="O86">
        <f>IF(E86&lt;0.8,"Increase Sales Volume",IF(F86&lt;0.6,"Activate More Branches",IF(G86&lt;0.5,"Push Focus Products","Strong Performance")))</f>
        <v/>
      </c>
    </row>
    <row r="87">
      <c r="E87">
        <f>D87/C87</f>
        <v/>
      </c>
      <c r="J87">
        <f>MIN((E87*INPUTS!B16)+(F87*INPUTS!B17)+(G87*INPUTS!B18)+(H87*INPUTS!B19)+(I87*INPUTS!B20),1.5)</f>
        <v/>
      </c>
      <c r="K87">
        <f>IF(J87&lt;0.6,0.3,IF(J87&lt;0.8,0.6,IF(J87&lt;1,1,IF(J87&lt;1.2,1.5,2))))</f>
        <v/>
      </c>
      <c r="M87">
        <f>IF((D87*INPUTS!B10*K87*L87)&lt;=25000,(D87*INPUTS!B10*K87*L87),IF((D87*INPUTS!B10*K87*L87)&lt;=40000,25000+(((D87*INPUTS!B10*K87*L87)-25000)*0.85),IF((D87*INPUTS!B10*K87*L87)&lt;=75000,37750+(((D87*INPUTS!B10*K87*L87)-40000)*0.70),62250+(((D87*INPUTS!B10*K87*L87)-75000)*0.50))))</f>
        <v/>
      </c>
      <c r="N87">
        <f>MAX(IF(E87&lt;0.8,(C87*0.8)-D87,IF(E87&lt;1,(C87*1)-D87,IF(E87&lt;1.2,(C87*1.2)-D87,IF(E87&lt;1.4,(C87*1.4)-D87,(C87*1.5)-D87)))),0)</f>
        <v/>
      </c>
      <c r="O87">
        <f>IF(E87&lt;0.8,"Increase Sales Volume",IF(F87&lt;0.6,"Activate More Branches",IF(G87&lt;0.5,"Push Focus Products","Strong Performance")))</f>
        <v/>
      </c>
    </row>
    <row r="88">
      <c r="E88">
        <f>D88/C88</f>
        <v/>
      </c>
      <c r="J88">
        <f>MIN((E88*INPUTS!B16)+(F88*INPUTS!B17)+(G88*INPUTS!B18)+(H88*INPUTS!B19)+(I88*INPUTS!B20),1.5)</f>
        <v/>
      </c>
      <c r="K88">
        <f>IF(J88&lt;0.6,0.3,IF(J88&lt;0.8,0.6,IF(J88&lt;1,1,IF(J88&lt;1.2,1.5,2))))</f>
        <v/>
      </c>
      <c r="M88">
        <f>IF((D88*INPUTS!B10*K88*L88)&lt;=25000,(D88*INPUTS!B10*K88*L88),IF((D88*INPUTS!B10*K88*L88)&lt;=40000,25000+(((D88*INPUTS!B10*K88*L88)-25000)*0.85),IF((D88*INPUTS!B10*K88*L88)&lt;=75000,37750+(((D88*INPUTS!B10*K88*L88)-40000)*0.70),62250+(((D88*INPUTS!B10*K88*L88)-75000)*0.50))))</f>
        <v/>
      </c>
      <c r="N88">
        <f>MAX(IF(E88&lt;0.8,(C88*0.8)-D88,IF(E88&lt;1,(C88*1)-D88,IF(E88&lt;1.2,(C88*1.2)-D88,IF(E88&lt;1.4,(C88*1.4)-D88,(C88*1.5)-D88)))),0)</f>
        <v/>
      </c>
      <c r="O88">
        <f>IF(E88&lt;0.8,"Increase Sales Volume",IF(F88&lt;0.6,"Activate More Branches",IF(G88&lt;0.5,"Push Focus Products","Strong Performance")))</f>
        <v/>
      </c>
    </row>
    <row r="89">
      <c r="E89">
        <f>D89/C89</f>
        <v/>
      </c>
      <c r="J89">
        <f>MIN((E89*INPUTS!B16)+(F89*INPUTS!B17)+(G89*INPUTS!B18)+(H89*INPUTS!B19)+(I89*INPUTS!B20),1.5)</f>
        <v/>
      </c>
      <c r="K89">
        <f>IF(J89&lt;0.6,0.3,IF(J89&lt;0.8,0.6,IF(J89&lt;1,1,IF(J89&lt;1.2,1.5,2))))</f>
        <v/>
      </c>
      <c r="M89">
        <f>IF((D89*INPUTS!B10*K89*L89)&lt;=25000,(D89*INPUTS!B10*K89*L89),IF((D89*INPUTS!B10*K89*L89)&lt;=40000,25000+(((D89*INPUTS!B10*K89*L89)-25000)*0.85),IF((D89*INPUTS!B10*K89*L89)&lt;=75000,37750+(((D89*INPUTS!B10*K89*L89)-40000)*0.70),62250+(((D89*INPUTS!B10*K89*L89)-75000)*0.50))))</f>
        <v/>
      </c>
      <c r="N89">
        <f>MAX(IF(E89&lt;0.8,(C89*0.8)-D89,IF(E89&lt;1,(C89*1)-D89,IF(E89&lt;1.2,(C89*1.2)-D89,IF(E89&lt;1.4,(C89*1.4)-D89,(C89*1.5)-D89)))),0)</f>
        <v/>
      </c>
      <c r="O89">
        <f>IF(E89&lt;0.8,"Increase Sales Volume",IF(F89&lt;0.6,"Activate More Branches",IF(G89&lt;0.5,"Push Focus Products","Strong Performance")))</f>
        <v/>
      </c>
    </row>
    <row r="90">
      <c r="E90">
        <f>D90/C90</f>
        <v/>
      </c>
      <c r="J90">
        <f>MIN((E90*INPUTS!B16)+(F90*INPUTS!B17)+(G90*INPUTS!B18)+(H90*INPUTS!B19)+(I90*INPUTS!B20),1.5)</f>
        <v/>
      </c>
      <c r="K90">
        <f>IF(J90&lt;0.6,0.3,IF(J90&lt;0.8,0.6,IF(J90&lt;1,1,IF(J90&lt;1.2,1.5,2))))</f>
        <v/>
      </c>
      <c r="M90">
        <f>IF((D90*INPUTS!B10*K90*L90)&lt;=25000,(D90*INPUTS!B10*K90*L90),IF((D90*INPUTS!B10*K90*L90)&lt;=40000,25000+(((D90*INPUTS!B10*K90*L90)-25000)*0.85),IF((D90*INPUTS!B10*K90*L90)&lt;=75000,37750+(((D90*INPUTS!B10*K90*L90)-40000)*0.70),62250+(((D90*INPUTS!B10*K90*L90)-75000)*0.50))))</f>
        <v/>
      </c>
      <c r="N90">
        <f>MAX(IF(E90&lt;0.8,(C90*0.8)-D90,IF(E90&lt;1,(C90*1)-D90,IF(E90&lt;1.2,(C90*1.2)-D90,IF(E90&lt;1.4,(C90*1.4)-D90,(C90*1.5)-D90)))),0)</f>
        <v/>
      </c>
      <c r="O90">
        <f>IF(E90&lt;0.8,"Increase Sales Volume",IF(F90&lt;0.6,"Activate More Branches",IF(G90&lt;0.5,"Push Focus Products","Strong Performance")))</f>
        <v/>
      </c>
    </row>
    <row r="91">
      <c r="E91">
        <f>D91/C91</f>
        <v/>
      </c>
      <c r="J91">
        <f>MIN((E91*INPUTS!B16)+(F91*INPUTS!B17)+(G91*INPUTS!B18)+(H91*INPUTS!B19)+(I91*INPUTS!B20),1.5)</f>
        <v/>
      </c>
      <c r="K91">
        <f>IF(J91&lt;0.6,0.3,IF(J91&lt;0.8,0.6,IF(J91&lt;1,1,IF(J91&lt;1.2,1.5,2))))</f>
        <v/>
      </c>
      <c r="M91">
        <f>IF((D91*INPUTS!B10*K91*L91)&lt;=25000,(D91*INPUTS!B10*K91*L91),IF((D91*INPUTS!B10*K91*L91)&lt;=40000,25000+(((D91*INPUTS!B10*K91*L91)-25000)*0.85),IF((D91*INPUTS!B10*K91*L91)&lt;=75000,37750+(((D91*INPUTS!B10*K91*L91)-40000)*0.70),62250+(((D91*INPUTS!B10*K91*L91)-75000)*0.50))))</f>
        <v/>
      </c>
      <c r="N91">
        <f>MAX(IF(E91&lt;0.8,(C91*0.8)-D91,IF(E91&lt;1,(C91*1)-D91,IF(E91&lt;1.2,(C91*1.2)-D91,IF(E91&lt;1.4,(C91*1.4)-D91,(C91*1.5)-D91)))),0)</f>
        <v/>
      </c>
      <c r="O91">
        <f>IF(E91&lt;0.8,"Increase Sales Volume",IF(F91&lt;0.6,"Activate More Branches",IF(G91&lt;0.5,"Push Focus Products","Strong Performance")))</f>
        <v/>
      </c>
    </row>
    <row r="92">
      <c r="E92">
        <f>D92/C92</f>
        <v/>
      </c>
      <c r="J92">
        <f>MIN((E92*INPUTS!B16)+(F92*INPUTS!B17)+(G92*INPUTS!B18)+(H92*INPUTS!B19)+(I92*INPUTS!B20),1.5)</f>
        <v/>
      </c>
      <c r="K92">
        <f>IF(J92&lt;0.6,0.3,IF(J92&lt;0.8,0.6,IF(J92&lt;1,1,IF(J92&lt;1.2,1.5,2))))</f>
        <v/>
      </c>
      <c r="M92">
        <f>IF((D92*INPUTS!B10*K92*L92)&lt;=25000,(D92*INPUTS!B10*K92*L92),IF((D92*INPUTS!B10*K92*L92)&lt;=40000,25000+(((D92*INPUTS!B10*K92*L92)-25000)*0.85),IF((D92*INPUTS!B10*K92*L92)&lt;=75000,37750+(((D92*INPUTS!B10*K92*L92)-40000)*0.70),62250+(((D92*INPUTS!B10*K92*L92)-75000)*0.50))))</f>
        <v/>
      </c>
      <c r="N92">
        <f>MAX(IF(E92&lt;0.8,(C92*0.8)-D92,IF(E92&lt;1,(C92*1)-D92,IF(E92&lt;1.2,(C92*1.2)-D92,IF(E92&lt;1.4,(C92*1.4)-D92,(C92*1.5)-D92)))),0)</f>
        <v/>
      </c>
      <c r="O92">
        <f>IF(E92&lt;0.8,"Increase Sales Volume",IF(F92&lt;0.6,"Activate More Branches",IF(G92&lt;0.5,"Push Focus Products","Strong Performance")))</f>
        <v/>
      </c>
    </row>
    <row r="93">
      <c r="E93">
        <f>D93/C93</f>
        <v/>
      </c>
      <c r="J93">
        <f>MIN((E93*INPUTS!B16)+(F93*INPUTS!B17)+(G93*INPUTS!B18)+(H93*INPUTS!B19)+(I93*INPUTS!B20),1.5)</f>
        <v/>
      </c>
      <c r="K93">
        <f>IF(J93&lt;0.6,0.3,IF(J93&lt;0.8,0.6,IF(J93&lt;1,1,IF(J93&lt;1.2,1.5,2))))</f>
        <v/>
      </c>
      <c r="M93">
        <f>IF((D93*INPUTS!B10*K93*L93)&lt;=25000,(D93*INPUTS!B10*K93*L93),IF((D93*INPUTS!B10*K93*L93)&lt;=40000,25000+(((D93*INPUTS!B10*K93*L93)-25000)*0.85),IF((D93*INPUTS!B10*K93*L93)&lt;=75000,37750+(((D93*INPUTS!B10*K93*L93)-40000)*0.70),62250+(((D93*INPUTS!B10*K93*L93)-75000)*0.50))))</f>
        <v/>
      </c>
      <c r="N93">
        <f>MAX(IF(E93&lt;0.8,(C93*0.8)-D93,IF(E93&lt;1,(C93*1)-D93,IF(E93&lt;1.2,(C93*1.2)-D93,IF(E93&lt;1.4,(C93*1.4)-D93,(C93*1.5)-D93)))),0)</f>
        <v/>
      </c>
      <c r="O93">
        <f>IF(E93&lt;0.8,"Increase Sales Volume",IF(F93&lt;0.6,"Activate More Branches",IF(G93&lt;0.5,"Push Focus Products","Strong Performance")))</f>
        <v/>
      </c>
    </row>
    <row r="94">
      <c r="E94">
        <f>D94/C94</f>
        <v/>
      </c>
      <c r="J94">
        <f>MIN((E94*INPUTS!B16)+(F94*INPUTS!B17)+(G94*INPUTS!B18)+(H94*INPUTS!B19)+(I94*INPUTS!B20),1.5)</f>
        <v/>
      </c>
      <c r="K94">
        <f>IF(J94&lt;0.6,0.3,IF(J94&lt;0.8,0.6,IF(J94&lt;1,1,IF(J94&lt;1.2,1.5,2))))</f>
        <v/>
      </c>
      <c r="M94">
        <f>IF((D94*INPUTS!B10*K94*L94)&lt;=25000,(D94*INPUTS!B10*K94*L94),IF((D94*INPUTS!B10*K94*L94)&lt;=40000,25000+(((D94*INPUTS!B10*K94*L94)-25000)*0.85),IF((D94*INPUTS!B10*K94*L94)&lt;=75000,37750+(((D94*INPUTS!B10*K94*L94)-40000)*0.70),62250+(((D94*INPUTS!B10*K94*L94)-75000)*0.50))))</f>
        <v/>
      </c>
      <c r="N94">
        <f>MAX(IF(E94&lt;0.8,(C94*0.8)-D94,IF(E94&lt;1,(C94*1)-D94,IF(E94&lt;1.2,(C94*1.2)-D94,IF(E94&lt;1.4,(C94*1.4)-D94,(C94*1.5)-D94)))),0)</f>
        <v/>
      </c>
      <c r="O94">
        <f>IF(E94&lt;0.8,"Increase Sales Volume",IF(F94&lt;0.6,"Activate More Branches",IF(G94&lt;0.5,"Push Focus Products","Strong Performance")))</f>
        <v/>
      </c>
    </row>
    <row r="95">
      <c r="E95">
        <f>D95/C95</f>
        <v/>
      </c>
      <c r="J95">
        <f>MIN((E95*INPUTS!B16)+(F95*INPUTS!B17)+(G95*INPUTS!B18)+(H95*INPUTS!B19)+(I95*INPUTS!B20),1.5)</f>
        <v/>
      </c>
      <c r="K95">
        <f>IF(J95&lt;0.6,0.3,IF(J95&lt;0.8,0.6,IF(J95&lt;1,1,IF(J95&lt;1.2,1.5,2))))</f>
        <v/>
      </c>
      <c r="M95">
        <f>IF((D95*INPUTS!B10*K95*L95)&lt;=25000,(D95*INPUTS!B10*K95*L95),IF((D95*INPUTS!B10*K95*L95)&lt;=40000,25000+(((D95*INPUTS!B10*K95*L95)-25000)*0.85),IF((D95*INPUTS!B10*K95*L95)&lt;=75000,37750+(((D95*INPUTS!B10*K95*L95)-40000)*0.70),62250+(((D95*INPUTS!B10*K95*L95)-75000)*0.50))))</f>
        <v/>
      </c>
      <c r="N95">
        <f>MAX(IF(E95&lt;0.8,(C95*0.8)-D95,IF(E95&lt;1,(C95*1)-D95,IF(E95&lt;1.2,(C95*1.2)-D95,IF(E95&lt;1.4,(C95*1.4)-D95,(C95*1.5)-D95)))),0)</f>
        <v/>
      </c>
      <c r="O95">
        <f>IF(E95&lt;0.8,"Increase Sales Volume",IF(F95&lt;0.6,"Activate More Branches",IF(G95&lt;0.5,"Push Focus Products","Strong Performance")))</f>
        <v/>
      </c>
    </row>
    <row r="96">
      <c r="E96">
        <f>D96/C96</f>
        <v/>
      </c>
      <c r="J96">
        <f>MIN((E96*INPUTS!B16)+(F96*INPUTS!B17)+(G96*INPUTS!B18)+(H96*INPUTS!B19)+(I96*INPUTS!B20),1.5)</f>
        <v/>
      </c>
      <c r="K96">
        <f>IF(J96&lt;0.6,0.3,IF(J96&lt;0.8,0.6,IF(J96&lt;1,1,IF(J96&lt;1.2,1.5,2))))</f>
        <v/>
      </c>
      <c r="M96">
        <f>IF((D96*INPUTS!B10*K96*L96)&lt;=25000,(D96*INPUTS!B10*K96*L96),IF((D96*INPUTS!B10*K96*L96)&lt;=40000,25000+(((D96*INPUTS!B10*K96*L96)-25000)*0.85),IF((D96*INPUTS!B10*K96*L96)&lt;=75000,37750+(((D96*INPUTS!B10*K96*L96)-40000)*0.70),62250+(((D96*INPUTS!B10*K96*L96)-75000)*0.50))))</f>
        <v/>
      </c>
      <c r="N96">
        <f>MAX(IF(E96&lt;0.8,(C96*0.8)-D96,IF(E96&lt;1,(C96*1)-D96,IF(E96&lt;1.2,(C96*1.2)-D96,IF(E96&lt;1.4,(C96*1.4)-D96,(C96*1.5)-D96)))),0)</f>
        <v/>
      </c>
      <c r="O96">
        <f>IF(E96&lt;0.8,"Increase Sales Volume",IF(F96&lt;0.6,"Activate More Branches",IF(G96&lt;0.5,"Push Focus Products","Strong Performance")))</f>
        <v/>
      </c>
    </row>
    <row r="97">
      <c r="E97">
        <f>D97/C97</f>
        <v/>
      </c>
      <c r="J97">
        <f>MIN((E97*INPUTS!B16)+(F97*INPUTS!B17)+(G97*INPUTS!B18)+(H97*INPUTS!B19)+(I97*INPUTS!B20),1.5)</f>
        <v/>
      </c>
      <c r="K97">
        <f>IF(J97&lt;0.6,0.3,IF(J97&lt;0.8,0.6,IF(J97&lt;1,1,IF(J97&lt;1.2,1.5,2))))</f>
        <v/>
      </c>
      <c r="M97">
        <f>IF((D97*INPUTS!B10*K97*L97)&lt;=25000,(D97*INPUTS!B10*K97*L97),IF((D97*INPUTS!B10*K97*L97)&lt;=40000,25000+(((D97*INPUTS!B10*K97*L97)-25000)*0.85),IF((D97*INPUTS!B10*K97*L97)&lt;=75000,37750+(((D97*INPUTS!B10*K97*L97)-40000)*0.70),62250+(((D97*INPUTS!B10*K97*L97)-75000)*0.50))))</f>
        <v/>
      </c>
      <c r="N97">
        <f>MAX(IF(E97&lt;0.8,(C97*0.8)-D97,IF(E97&lt;1,(C97*1)-D97,IF(E97&lt;1.2,(C97*1.2)-D97,IF(E97&lt;1.4,(C97*1.4)-D97,(C97*1.5)-D97)))),0)</f>
        <v/>
      </c>
      <c r="O97">
        <f>IF(E97&lt;0.8,"Increase Sales Volume",IF(F97&lt;0.6,"Activate More Branches",IF(G97&lt;0.5,"Push Focus Products","Strong Performance")))</f>
        <v/>
      </c>
    </row>
    <row r="98">
      <c r="E98">
        <f>D98/C98</f>
        <v/>
      </c>
      <c r="J98">
        <f>MIN((E98*INPUTS!B16)+(F98*INPUTS!B17)+(G98*INPUTS!B18)+(H98*INPUTS!B19)+(I98*INPUTS!B20),1.5)</f>
        <v/>
      </c>
      <c r="K98">
        <f>IF(J98&lt;0.6,0.3,IF(J98&lt;0.8,0.6,IF(J98&lt;1,1,IF(J98&lt;1.2,1.5,2))))</f>
        <v/>
      </c>
      <c r="M98">
        <f>IF((D98*INPUTS!B10*K98*L98)&lt;=25000,(D98*INPUTS!B10*K98*L98),IF((D98*INPUTS!B10*K98*L98)&lt;=40000,25000+(((D98*INPUTS!B10*K98*L98)-25000)*0.85),IF((D98*INPUTS!B10*K98*L98)&lt;=75000,37750+(((D98*INPUTS!B10*K98*L98)-40000)*0.70),62250+(((D98*INPUTS!B10*K98*L98)-75000)*0.50))))</f>
        <v/>
      </c>
      <c r="N98">
        <f>MAX(IF(E98&lt;0.8,(C98*0.8)-D98,IF(E98&lt;1,(C98*1)-D98,IF(E98&lt;1.2,(C98*1.2)-D98,IF(E98&lt;1.4,(C98*1.4)-D98,(C98*1.5)-D98)))),0)</f>
        <v/>
      </c>
      <c r="O98">
        <f>IF(E98&lt;0.8,"Increase Sales Volume",IF(F98&lt;0.6,"Activate More Branches",IF(G98&lt;0.5,"Push Focus Products","Strong Performance")))</f>
        <v/>
      </c>
    </row>
    <row r="99">
      <c r="E99">
        <f>D99/C99</f>
        <v/>
      </c>
      <c r="J99">
        <f>MIN((E99*INPUTS!B16)+(F99*INPUTS!B17)+(G99*INPUTS!B18)+(H99*INPUTS!B19)+(I99*INPUTS!B20),1.5)</f>
        <v/>
      </c>
      <c r="K99">
        <f>IF(J99&lt;0.6,0.3,IF(J99&lt;0.8,0.6,IF(J99&lt;1,1,IF(J99&lt;1.2,1.5,2))))</f>
        <v/>
      </c>
      <c r="M99">
        <f>IF((D99*INPUTS!B10*K99*L99)&lt;=25000,(D99*INPUTS!B10*K99*L99),IF((D99*INPUTS!B10*K99*L99)&lt;=40000,25000+(((D99*INPUTS!B10*K99*L99)-25000)*0.85),IF((D99*INPUTS!B10*K99*L99)&lt;=75000,37750+(((D99*INPUTS!B10*K99*L99)-40000)*0.70),62250+(((D99*INPUTS!B10*K99*L99)-75000)*0.50))))</f>
        <v/>
      </c>
      <c r="N99">
        <f>MAX(IF(E99&lt;0.8,(C99*0.8)-D99,IF(E99&lt;1,(C99*1)-D99,IF(E99&lt;1.2,(C99*1.2)-D99,IF(E99&lt;1.4,(C99*1.4)-D99,(C99*1.5)-D99)))),0)</f>
        <v/>
      </c>
      <c r="O99">
        <f>IF(E99&lt;0.8,"Increase Sales Volume",IF(F99&lt;0.6,"Activate More Branches",IF(G99&lt;0.5,"Push Focus Products","Strong Performance")))</f>
        <v/>
      </c>
    </row>
    <row r="100">
      <c r="E100">
        <f>D100/C100</f>
        <v/>
      </c>
      <c r="J100">
        <f>MIN((E100*INPUTS!B16)+(F100*INPUTS!B17)+(G100*INPUTS!B18)+(H100*INPUTS!B19)+(I100*INPUTS!B20),1.5)</f>
        <v/>
      </c>
      <c r="K100">
        <f>IF(J100&lt;0.6,0.3,IF(J100&lt;0.8,0.6,IF(J100&lt;1,1,IF(J100&lt;1.2,1.5,2))))</f>
        <v/>
      </c>
      <c r="M100">
        <f>IF((D100*INPUTS!B10*K100*L100)&lt;=25000,(D100*INPUTS!B10*K100*L100),IF((D100*INPUTS!B10*K100*L100)&lt;=40000,25000+(((D100*INPUTS!B10*K100*L100)-25000)*0.85),IF((D100*INPUTS!B10*K100*L100)&lt;=75000,37750+(((D100*INPUTS!B10*K100*L100)-40000)*0.70),62250+(((D100*INPUTS!B10*K100*L100)-75000)*0.50))))</f>
        <v/>
      </c>
      <c r="N100">
        <f>MAX(IF(E100&lt;0.8,(C100*0.8)-D100,IF(E100&lt;1,(C100*1)-D100,IF(E100&lt;1.2,(C100*1.2)-D100,IF(E100&lt;1.4,(C100*1.4)-D100,(C100*1.5)-D100)))),0)</f>
        <v/>
      </c>
      <c r="O100">
        <f>IF(E100&lt;0.8,"Increase Sales Volume",IF(F100&lt;0.6,"Activate More Branches",IF(G100&lt;0.5,"Push Focus Products","Strong Performance")))</f>
        <v/>
      </c>
    </row>
    <row r="101">
      <c r="E101">
        <f>D101/C101</f>
        <v/>
      </c>
      <c r="J101">
        <f>MIN((E101*INPUTS!B16)+(F101*INPUTS!B17)+(G101*INPUTS!B18)+(H101*INPUTS!B19)+(I101*INPUTS!B20),1.5)</f>
        <v/>
      </c>
      <c r="K101">
        <f>IF(J101&lt;0.6,0.3,IF(J101&lt;0.8,0.6,IF(J101&lt;1,1,IF(J101&lt;1.2,1.5,2))))</f>
        <v/>
      </c>
      <c r="M101">
        <f>IF((D101*INPUTS!B10*K101*L101)&lt;=25000,(D101*INPUTS!B10*K101*L101),IF((D101*INPUTS!B10*K101*L101)&lt;=40000,25000+(((D101*INPUTS!B10*K101*L101)-25000)*0.85),IF((D101*INPUTS!B10*K101*L101)&lt;=75000,37750+(((D101*INPUTS!B10*K101*L101)-40000)*0.70),62250+(((D101*INPUTS!B10*K101*L101)-75000)*0.50))))</f>
        <v/>
      </c>
      <c r="N101">
        <f>MAX(IF(E101&lt;0.8,(C101*0.8)-D101,IF(E101&lt;1,(C101*1)-D101,IF(E101&lt;1.2,(C101*1.2)-D101,IF(E101&lt;1.4,(C101*1.4)-D101,(C101*1.5)-D101)))),0)</f>
        <v/>
      </c>
      <c r="O101">
        <f>IF(E101&lt;0.8,"Increase Sales Volume",IF(F101&lt;0.6,"Activate More Branches",IF(G101&lt;0.5,"Push Focus Products","Strong Performance")))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PnL Dashboard</t>
        </is>
      </c>
    </row>
    <row r="3">
      <c r="A3" t="inlineStr">
        <is>
          <t>Target Monthly Productivity</t>
        </is>
      </c>
      <c r="B3">
        <f>INPUTS!B8</f>
        <v/>
      </c>
    </row>
    <row r="4">
      <c r="A4" t="inlineStr">
        <is>
          <t>Annual Productivity per RM</t>
        </is>
      </c>
      <c r="B4">
        <f>B3*12</f>
        <v/>
      </c>
    </row>
    <row r="5">
      <c r="A5" t="inlineStr">
        <is>
          <t>Total RM Business</t>
        </is>
      </c>
      <c r="B5">
        <f>B4*INPUTS!B3</f>
        <v/>
      </c>
    </row>
    <row r="6">
      <c r="A6" t="inlineStr">
        <is>
          <t>Base Incentive Cost</t>
        </is>
      </c>
      <c r="B6">
        <f>B5*INPUTS!B10</f>
        <v/>
      </c>
    </row>
    <row r="7">
      <c r="A7" t="inlineStr">
        <is>
          <t>Weighted Multiplier</t>
        </is>
      </c>
      <c r="B7">
        <f>(0.3*0.6)+(0.5*1)+(0.2*1.8)</f>
        <v/>
      </c>
    </row>
    <row r="8">
      <c r="A8" t="inlineStr">
        <is>
          <t>Adjusted Incentive</t>
        </is>
      </c>
      <c r="B8">
        <f>B6*B7</f>
        <v/>
      </c>
    </row>
    <row r="9">
      <c r="A9" t="inlineStr">
        <is>
          <t>ASM Cost</t>
        </is>
      </c>
      <c r="B9">
        <f>B5*INPUTS!B11</f>
        <v/>
      </c>
    </row>
    <row r="10">
      <c r="A10" t="inlineStr">
        <is>
          <t>Estimated Total Cost</t>
        </is>
      </c>
      <c r="B10">
        <f>B8+B9</f>
        <v/>
      </c>
    </row>
    <row r="11">
      <c r="A11" t="inlineStr">
        <is>
          <t>Target GWP</t>
        </is>
      </c>
      <c r="B11">
        <f>INPUTS!B5</f>
        <v/>
      </c>
    </row>
    <row r="12">
      <c r="A12" t="inlineStr">
        <is>
          <t>Incentive % of GWP</t>
        </is>
      </c>
      <c r="B12">
        <f>B10/(B11*10000000)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Refactor Summary</t>
        </is>
      </c>
    </row>
    <row r="3">
      <c r="A3" t="inlineStr">
        <is>
          <t>Removed hard cap</t>
        </is>
      </c>
    </row>
    <row r="4">
      <c r="A4" t="inlineStr">
        <is>
          <t>Introduced tapered payout logic</t>
        </is>
      </c>
    </row>
    <row r="5">
      <c r="A5" t="inlineStr">
        <is>
          <t>Introduced governance review thresholds</t>
        </is>
      </c>
    </row>
    <row r="6">
      <c r="A6" t="inlineStr">
        <is>
          <t>Dynamic achievement slab gap</t>
        </is>
      </c>
    </row>
    <row r="7">
      <c r="A7" t="inlineStr">
        <is>
          <t>Behavior-driven acceleration model</t>
        </is>
      </c>
    </row>
    <row r="8">
      <c r="A8" t="inlineStr">
        <is>
          <t>Preserved financial governance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2026-05-09T15:48:23Z</dcterms:created>
  <dcterms:modified xmlns:dcterms="http://purl.org/dc/terms/" xmlns:xsi="http://www.w3.org/2001/XMLSchema-instance" xsi:type="dcterms:W3CDTF">2026-05-09T15:48:23Z</dcterms:modified>
</cp:coreProperties>
</file>
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PUTS" sheetId="1" state="visible" r:id="rId2"/>
    <sheet name="RM_SIMULATOR" sheetId="2" state="visible" r:id="rId3"/>
    <sheet name="PNL_DASHBOARD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7" authorId="0">
      <text>
        <r>
          <rPr>
            <sz val="11"/>
            <color rgb="FF000000"/>
            <rFont val="Calibri"/>
            <family val="2"/>
            <charset val="1"/>
          </rPr>
          <t xml:space="preserve">Shows incentive cost as % of GWP. Target range: 1–1.5%.</t>
        </r>
      </text>
    </comment>
  </commentList>
</comments>
</file>

<file path=xl/sharedStrings.xml><?xml version="1.0" encoding="utf-8"?>
<sst xmlns="http://schemas.openxmlformats.org/spreadsheetml/2006/main" count="36" uniqueCount="36">
  <si>
    <t xml:space="preserve">Total RMs</t>
  </si>
  <si>
    <t xml:space="preserve">Current GWP (Cr)</t>
  </si>
  <si>
    <t xml:space="preserve">Target GWP (Cr)</t>
  </si>
  <si>
    <t xml:space="preserve">Aspirational GWP (Cr)</t>
  </si>
  <si>
    <t xml:space="preserve">Current Monthly RM Productivity</t>
  </si>
  <si>
    <t xml:space="preserve">Target Monthly RM Productivity</t>
  </si>
  <si>
    <t xml:space="preserve">Aspirational Monthly RM Productivity</t>
  </si>
  <si>
    <t xml:space="preserve">Base Incentive %</t>
  </si>
  <si>
    <t xml:space="preserve">TL Incentive %</t>
  </si>
  <si>
    <t xml:space="preserve">BPI Weight - Topline</t>
  </si>
  <si>
    <t xml:space="preserve">BPI Weight - Activation</t>
  </si>
  <si>
    <t xml:space="preserve">BPI Weight - Product Mix</t>
  </si>
  <si>
    <t xml:space="preserve">BPI Weight - Persistency</t>
  </si>
  <si>
    <t xml:space="preserve">BPI Weight - Digital</t>
  </si>
  <si>
    <t xml:space="preserve">RM Type</t>
  </si>
  <si>
    <t xml:space="preserve">Target</t>
  </si>
  <si>
    <t xml:space="preserve">Achieved</t>
  </si>
  <si>
    <t xml:space="preserve">% Achievement</t>
  </si>
  <si>
    <t xml:space="preserve">Activation</t>
  </si>
  <si>
    <t xml:space="preserve">Product Mix</t>
  </si>
  <si>
    <t xml:space="preserve">Persistency</t>
  </si>
  <si>
    <t xml:space="preserve">Digital</t>
  </si>
  <si>
    <t xml:space="preserve">BPI Score</t>
  </si>
  <si>
    <t xml:space="preserve">Earnings</t>
  </si>
  <si>
    <t xml:space="preserve">Quality Factor</t>
  </si>
  <si>
    <t xml:space="preserve">Final Earnings</t>
  </si>
  <si>
    <t xml:space="preserve">Low</t>
  </si>
  <si>
    <t xml:space="preserve">Average</t>
  </si>
  <si>
    <t xml:space="preserve">High</t>
  </si>
  <si>
    <t xml:space="preserve">Total RM Business</t>
  </si>
  <si>
    <t xml:space="preserve">Base Incentive Cost</t>
  </si>
  <si>
    <t xml:space="preserve">Weighted Multiplier</t>
  </si>
  <si>
    <t xml:space="preserve">Adjusted Incentive</t>
  </si>
  <si>
    <t xml:space="preserve">TL Cost</t>
  </si>
  <si>
    <t xml:space="preserve">Total Incentive Cost</t>
  </si>
  <si>
    <t xml:space="preserve">Incentive % of GWP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</si>
</sst>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0.00"/>
    <numFmt numFmtId="167" formatCode="#,##0.00"/>
    <numFmt numFmtId="168" formatCode="General"/>
    <numFmt numFmtId="169" formatCode="0.00%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2734375" defaultRowHeight="15" zeroHeight="false" outlineLevelRow="0" outlineLevelCol="0"/>
  <cols>
    <col collapsed="false" customWidth="true" hidden="false" outlineLevel="0" max="1" min="1" style="0" width="32.21"/>
    <col collapsed="false" customWidth="true" hidden="false" outlineLevel="0" max="2" min="2" style="0" width="11.53"/>
  </cols>
  <sheetData>
    <row r="1" customFormat="false" ht="15" hidden="false" customHeight="false" outlineLevel="0" collapsed="false">
      <c r="A1" s="0" t="s">
        <v>0</v>
      </c>
      <c r="B1" s="0" t="n">
        <v>500</v>
      </c>
    </row>
    <row r="2" customFormat="false" ht="15" hidden="false" customHeight="false" outlineLevel="0" collapsed="false">
      <c r="A2" s="0" t="s">
        <v>1</v>
      </c>
      <c r="B2" s="0" t="n">
        <v>4430000000</v>
      </c>
    </row>
    <row r="3" customFormat="false" ht="15" hidden="false" customHeight="false" outlineLevel="0" collapsed="false">
      <c r="A3" s="0" t="s">
        <v>2</v>
      </c>
      <c r="B3" s="0" t="n">
        <v>600</v>
      </c>
    </row>
    <row r="4" customFormat="false" ht="15" hidden="false" customHeight="false" outlineLevel="0" collapsed="false">
      <c r="A4" s="0" t="s">
        <v>3</v>
      </c>
      <c r="B4" s="0" t="n">
        <v>800</v>
      </c>
    </row>
    <row r="5" customFormat="false" ht="15" hidden="false" customHeight="false" outlineLevel="0" collapsed="false">
      <c r="A5" s="0" t="s">
        <v>4</v>
      </c>
      <c r="B5" s="0" t="n">
        <v>550000</v>
      </c>
    </row>
    <row r="6" customFormat="false" ht="15" hidden="false" customHeight="false" outlineLevel="0" collapsed="false">
      <c r="A6" s="0" t="s">
        <v>5</v>
      </c>
      <c r="B6" s="0" t="n">
        <v>750000</v>
      </c>
    </row>
    <row r="7" customFormat="false" ht="15" hidden="false" customHeight="false" outlineLevel="0" collapsed="false">
      <c r="A7" s="0" t="s">
        <v>6</v>
      </c>
      <c r="B7" s="0" t="n">
        <v>1000000</v>
      </c>
    </row>
    <row r="8" customFormat="false" ht="15" hidden="false" customHeight="false" outlineLevel="0" collapsed="false">
      <c r="A8" s="0" t="s">
        <v>7</v>
      </c>
      <c r="B8" s="0" t="n">
        <v>0.012</v>
      </c>
    </row>
    <row r="9" customFormat="false" ht="15" hidden="false" customHeight="false" outlineLevel="0" collapsed="false">
      <c r="A9" s="0" t="s">
        <v>8</v>
      </c>
      <c r="B9" s="0" t="n">
        <v>0.005</v>
      </c>
    </row>
    <row r="10" customFormat="false" ht="15" hidden="false" customHeight="false" outlineLevel="0" collapsed="false">
      <c r="A10" s="0" t="s">
        <v>9</v>
      </c>
      <c r="B10" s="1" t="n">
        <v>0.5</v>
      </c>
    </row>
    <row r="11" customFormat="false" ht="15" hidden="false" customHeight="false" outlineLevel="0" collapsed="false">
      <c r="A11" s="0" t="s">
        <v>10</v>
      </c>
      <c r="B11" s="1" t="n">
        <v>0.2</v>
      </c>
    </row>
    <row r="12" customFormat="false" ht="15" hidden="false" customHeight="false" outlineLevel="0" collapsed="false">
      <c r="A12" s="0" t="s">
        <v>11</v>
      </c>
      <c r="B12" s="1" t="n">
        <v>0.15</v>
      </c>
    </row>
    <row r="13" customFormat="false" ht="15" hidden="false" customHeight="false" outlineLevel="0" collapsed="false">
      <c r="A13" s="0" t="s">
        <v>12</v>
      </c>
      <c r="B13" s="1" t="n">
        <v>0.1</v>
      </c>
    </row>
    <row r="14" customFormat="false" ht="15" hidden="false" customHeight="false" outlineLevel="0" collapsed="false">
      <c r="A14" s="0" t="s">
        <v>13</v>
      </c>
      <c r="B14" s="1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8.6"/>
    <col collapsed="false" customWidth="true" hidden="false" outlineLevel="0" max="2" min="2" style="0" width="7.71"/>
    <col collapsed="false" customWidth="true" hidden="false" outlineLevel="0" max="3" min="3" style="0" width="8.87"/>
    <col collapsed="false" customWidth="true" hidden="false" outlineLevel="0" max="4" min="4" style="0" width="14.03"/>
    <col collapsed="false" customWidth="true" hidden="false" outlineLevel="0" max="5" min="5" style="0" width="9.75"/>
    <col collapsed="false" customWidth="true" hidden="false" outlineLevel="0" max="6" min="6" style="0" width="11.39"/>
    <col collapsed="false" customWidth="true" hidden="false" outlineLevel="0" max="7" min="7" style="0" width="10.57"/>
    <col collapsed="false" customWidth="true" hidden="false" outlineLevel="0" max="8" min="8" style="0" width="6.61"/>
    <col collapsed="false" customWidth="true" hidden="false" outlineLevel="0" max="9" min="9" style="0" width="9.04"/>
    <col collapsed="false" customWidth="true" hidden="false" outlineLevel="0" max="10" min="10" style="0" width="8.31"/>
    <col collapsed="false" customWidth="true" hidden="false" outlineLevel="0" max="11" min="11" style="0" width="12.98"/>
    <col collapsed="false" customWidth="true" hidden="false" outlineLevel="0" max="12" min="12" style="0" width="12.61"/>
  </cols>
  <sheetData>
    <row r="1" customFormat="false" ht="15" hidden="false" customHeight="false" outlineLevel="0" collapsed="false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</row>
    <row r="2" customFormat="false" ht="15" hidden="false" customHeight="false" outlineLevel="0" collapsed="false">
      <c r="A2" s="0" t="s">
        <v>26</v>
      </c>
      <c r="B2" s="0" t="n">
        <v>750000</v>
      </c>
      <c r="C2" s="0" t="n">
        <v>400000</v>
      </c>
      <c r="D2" s="2" t="n">
        <f aca="false">C2/B2</f>
        <v>0.533333333333333</v>
      </c>
      <c r="E2" s="2" t="n">
        <v>0.5</v>
      </c>
      <c r="F2" s="2" t="n">
        <v>0.4</v>
      </c>
      <c r="G2" s="2" t="n">
        <v>0.6</v>
      </c>
      <c r="H2" s="2" t="n">
        <v>0.3</v>
      </c>
      <c r="I2" s="2" t="n">
        <f aca="false">MIN((D2*INPUTS!$B$10)+(E2*INPUTS!$B$11)+(F2*INPUTS!$B$12)+(G2*INPUTS!$B$13)+(H2*INPUTS!$B$14),1.5)</f>
        <v>0.501666666666667</v>
      </c>
      <c r="J2" s="0" t="n">
        <f aca="false">IF(I2&lt;0.6,C2*INPUTS!B8*0.3,IF(I2&lt;0.8,C2*INPUTS!B8*0.6,IF(I2&lt;1,C2*INPUTS!B8*1,IF(I2&lt;1.2,C2*INPUTS!B8*1.5,C2*INPUTS!B8*2))))</f>
        <v>1440</v>
      </c>
      <c r="K2" s="3" t="n">
        <v>0.7</v>
      </c>
      <c r="L2" s="0" t="n">
        <f aca="false">J2*K2</f>
        <v>1008</v>
      </c>
    </row>
    <row r="3" customFormat="false" ht="13.8" hidden="false" customHeight="false" outlineLevel="0" collapsed="false">
      <c r="A3" s="0" t="s">
        <v>27</v>
      </c>
      <c r="B3" s="0" t="n">
        <v>750000</v>
      </c>
      <c r="C3" s="0" t="n">
        <v>750000</v>
      </c>
      <c r="D3" s="2" t="n">
        <f aca="false">C3/B3</f>
        <v>1</v>
      </c>
      <c r="E3" s="2" t="n">
        <v>0.8</v>
      </c>
      <c r="F3" s="2" t="n">
        <v>0.7</v>
      </c>
      <c r="G3" s="2" t="n">
        <v>0.8</v>
      </c>
      <c r="H3" s="2" t="n">
        <v>0.6</v>
      </c>
      <c r="I3" s="2" t="n">
        <f aca="false">MIN((D3*INPUTS!$B$10)+(E3*INPUTS!$B$11)+(F3*INPUTS!$B$12)+(G3*INPUTS!$B$13)+(H3*INPUTS!$B$14),1.5)</f>
        <v>0.875</v>
      </c>
      <c r="J3" s="0" t="n">
        <f aca="false">IF(I3&lt;0.6,C3*INPUTS!B8*0.3,IF(I3&lt;0.8,C3*INPUTS!B8*0.6,IF(I3&lt;1,C3*INPUTS!B8*1,IF(I3&lt;1.2,C3*INPUTS!B8*1.5,C3*INPUTS!B8*2))))</f>
        <v>9000</v>
      </c>
      <c r="K3" s="3" t="n">
        <v>1</v>
      </c>
      <c r="L3" s="0" t="n">
        <f aca="false">J3*K3</f>
        <v>9000</v>
      </c>
    </row>
    <row r="4" customFormat="false" ht="13.8" hidden="false" customHeight="false" outlineLevel="0" collapsed="false">
      <c r="A4" s="0" t="s">
        <v>28</v>
      </c>
      <c r="B4" s="0" t="n">
        <v>750000</v>
      </c>
      <c r="C4" s="0" t="n">
        <v>1200000</v>
      </c>
      <c r="D4" s="2" t="n">
        <f aca="false">C4/B4</f>
        <v>1.6</v>
      </c>
      <c r="E4" s="2" t="n">
        <v>1</v>
      </c>
      <c r="F4" s="2" t="n">
        <v>0.9</v>
      </c>
      <c r="G4" s="2" t="n">
        <v>0.9</v>
      </c>
      <c r="H4" s="2" t="n">
        <v>0.8</v>
      </c>
      <c r="I4" s="2" t="n">
        <f aca="false">MIN((D4*INPUTS!$B$10)+(E4*INPUTS!$B$11)+(F4*INPUTS!$B$12)+(G4*INPUTS!$B$13)+(H4*INPUTS!$B$14),1.5)</f>
        <v>1.265</v>
      </c>
      <c r="J4" s="0" t="n">
        <f aca="false">IF(I4&lt;0.6,C4*INPUTS!B8*0.3,IF(I4&lt;0.8,C4*INPUTS!B8*0.6,IF(I4&lt;1,C4*INPUTS!B8*1,IF(I4&lt;1.2,C4*INPUTS!B8*1.5,C4*INPUTS!B8*2))))</f>
        <v>28800</v>
      </c>
      <c r="K4" s="3" t="n">
        <v>1</v>
      </c>
      <c r="L4" s="0" t="n">
        <f aca="false">J4*K4</f>
        <v>28800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17.76"/>
    <col collapsed="false" customWidth="true" hidden="false" outlineLevel="0" max="2" min="2" style="0" width="20.07"/>
  </cols>
  <sheetData>
    <row r="1" customFormat="false" ht="13.8" hidden="false" customHeight="false" outlineLevel="0" collapsed="false">
      <c r="A1" s="0" t="s">
        <v>29</v>
      </c>
      <c r="B1" s="0" t="n">
        <f aca="false">INPUTS!B6*12*INPUTS!B1</f>
        <v>4500000000</v>
      </c>
    </row>
    <row r="2" customFormat="false" ht="13.8" hidden="false" customHeight="false" outlineLevel="0" collapsed="false">
      <c r="A2" s="0" t="s">
        <v>30</v>
      </c>
      <c r="B2" s="0" t="n">
        <f aca="false">B1*INPUTS!B8</f>
        <v>54000000</v>
      </c>
    </row>
    <row r="3" customFormat="false" ht="13.8" hidden="false" customHeight="false" outlineLevel="0" collapsed="false">
      <c r="A3" s="0" t="s">
        <v>31</v>
      </c>
      <c r="B3" s="0" t="n">
        <f aca="false">(0.3*0.6)+(0.5*1)+(0.2*1.8)</f>
        <v>1.04</v>
      </c>
    </row>
    <row r="4" customFormat="false" ht="13.8" hidden="false" customHeight="false" outlineLevel="0" collapsed="false">
      <c r="A4" s="0" t="s">
        <v>32</v>
      </c>
      <c r="B4" s="0" t="n">
        <f aca="false">B2*B3</f>
        <v>56160000</v>
      </c>
    </row>
    <row r="5" customFormat="false" ht="13.8" hidden="false" customHeight="false" outlineLevel="0" collapsed="false">
      <c r="A5" s="0" t="s">
        <v>33</v>
      </c>
      <c r="B5" s="0" t="n">
        <f aca="false">B1*INPUTS!B9</f>
        <v>22500000</v>
      </c>
    </row>
    <row r="6" customFormat="false" ht="13.8" hidden="false" customHeight="false" outlineLevel="0" collapsed="false">
      <c r="A6" s="0" t="s">
        <v>34</v>
      </c>
      <c r="B6" s="4" t="n">
        <f aca="false">B4+B5</f>
        <v>78660000</v>
      </c>
    </row>
    <row r="7" customFormat="false" ht="15" hidden="false" customHeight="false" outlineLevel="0" collapsed="false">
      <c r="A7" s="0" t="s">
        <v>35</v>
      </c>
      <c r="B7" s="5" t="n">
        <f aca="false">B6/INPUTS!B2</f>
        <v>0.0177562076749436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LibreOffice/7.5.7.1$Windows_X86_64 LibreOffice_project/47eb0cf7efbacdee9b19ae25d6752381ede23126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2026-05-04T17:07:22Z</dcterms:created>
  <dc:creator>openpyxl</dc:creator>
  <dc:description/>
  <dc:language>en-IN</dc:language>
  <cp:lastModifiedBy/>
  <dcterms:modified xsi:type="dcterms:W3CDTF">2026-05-04T23:01:27Z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